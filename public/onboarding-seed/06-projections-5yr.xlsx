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ukeyoung/Downloads/"/>
    </mc:Choice>
  </mc:AlternateContent>
  <xr:revisionPtr revIDLastSave="0" documentId="13_ncr:1_{3330DD3B-B297-F541-8632-EBFE96C09811}" xr6:coauthVersionLast="47" xr6:coauthVersionMax="47" xr10:uidLastSave="{00000000-0000-0000-0000-000000000000}"/>
  <bookViews>
    <workbookView xWindow="0" yWindow="760" windowWidth="29400" windowHeight="17440" xr2:uid="{00000000-000D-0000-FFFF-FFFF00000000}"/>
  </bookViews>
  <sheets>
    <sheet name="Disclosure" sheetId="1" r:id="rId1"/>
    <sheet name="Assumptions " sheetId="2" r:id="rId2"/>
    <sheet name="Upfront Costs" sheetId="3" r:id="rId3"/>
    <sheet name="Cashflow" sheetId="4" state="hidden" r:id="rId4"/>
    <sheet name="P&amp;L - Cashflo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+vHoaacLkQoY1ORa6HhK5AuR/xhnJu+RmyBu5+zOVA="/>
    </ext>
  </extLst>
</workbook>
</file>

<file path=xl/calcChain.xml><?xml version="1.0" encoding="utf-8"?>
<calcChain xmlns="http://schemas.openxmlformats.org/spreadsheetml/2006/main">
  <c r="G34" i="5" l="1"/>
  <c r="C41" i="5"/>
  <c r="D38" i="5"/>
  <c r="C38" i="5"/>
  <c r="E31" i="5"/>
  <c r="BJ29" i="5"/>
  <c r="D26" i="5"/>
  <c r="D29" i="5" s="1"/>
  <c r="K24" i="5"/>
  <c r="J24" i="5"/>
  <c r="D24" i="5"/>
  <c r="C24" i="5"/>
  <c r="E24" i="5" s="1"/>
  <c r="BW23" i="5"/>
  <c r="BI23" i="5"/>
  <c r="AU23" i="5"/>
  <c r="AG23" i="5"/>
  <c r="S23" i="5"/>
  <c r="E23" i="5"/>
  <c r="BW22" i="5"/>
  <c r="BI22" i="5"/>
  <c r="AU22" i="5"/>
  <c r="AG22" i="5"/>
  <c r="S22" i="5"/>
  <c r="E22" i="5"/>
  <c r="BW21" i="5"/>
  <c r="BI21" i="5"/>
  <c r="AU21" i="5"/>
  <c r="AG21" i="5"/>
  <c r="S21" i="5"/>
  <c r="E21" i="5"/>
  <c r="BW20" i="5"/>
  <c r="BI20" i="5"/>
  <c r="AU20" i="5"/>
  <c r="AG20" i="5"/>
  <c r="S20" i="5"/>
  <c r="BV18" i="5"/>
  <c r="BU18" i="5"/>
  <c r="BT18" i="5"/>
  <c r="BS18" i="5"/>
  <c r="BR18" i="5"/>
  <c r="BQ18" i="5"/>
  <c r="BP18" i="5"/>
  <c r="BO18" i="5"/>
  <c r="BO24" i="5" s="1"/>
  <c r="BN18" i="5"/>
  <c r="BM18" i="5"/>
  <c r="BL18" i="5"/>
  <c r="BK18" i="5"/>
  <c r="BW18" i="5" s="1"/>
  <c r="BH18" i="5"/>
  <c r="BG18" i="5"/>
  <c r="BF18" i="5"/>
  <c r="BE18" i="5"/>
  <c r="BD18" i="5"/>
  <c r="BC18" i="5"/>
  <c r="BB18" i="5"/>
  <c r="BA18" i="5"/>
  <c r="AZ18" i="5"/>
  <c r="AY18" i="5"/>
  <c r="AX18" i="5"/>
  <c r="AW18" i="5"/>
  <c r="BI18" i="5" s="1"/>
  <c r="AT18" i="5"/>
  <c r="AS18" i="5"/>
  <c r="AS24" i="5" s="1"/>
  <c r="AR18" i="5"/>
  <c r="AQ18" i="5"/>
  <c r="AP18" i="5"/>
  <c r="AO18" i="5"/>
  <c r="AN18" i="5"/>
  <c r="AM18" i="5"/>
  <c r="AL18" i="5"/>
  <c r="AK18" i="5"/>
  <c r="AJ18" i="5"/>
  <c r="AI18" i="5"/>
  <c r="AI24" i="5" s="1"/>
  <c r="AF18" i="5"/>
  <c r="AE18" i="5"/>
  <c r="AD18" i="5"/>
  <c r="AC18" i="5"/>
  <c r="AB18" i="5"/>
  <c r="AA18" i="5"/>
  <c r="Z18" i="5"/>
  <c r="Y18" i="5"/>
  <c r="X18" i="5"/>
  <c r="X24" i="5" s="1"/>
  <c r="W18" i="5"/>
  <c r="V18" i="5"/>
  <c r="U18" i="5"/>
  <c r="AG18" i="5" s="1"/>
  <c r="R18" i="5"/>
  <c r="Q18" i="5"/>
  <c r="P18" i="5"/>
  <c r="O18" i="5"/>
  <c r="N18" i="5"/>
  <c r="M18" i="5"/>
  <c r="M24" i="5" s="1"/>
  <c r="L18" i="5"/>
  <c r="K18" i="5"/>
  <c r="J18" i="5"/>
  <c r="I18" i="5"/>
  <c r="S18" i="5" s="1"/>
  <c r="H18" i="5"/>
  <c r="G18" i="5"/>
  <c r="E18" i="5"/>
  <c r="BW17" i="5"/>
  <c r="BI17" i="5"/>
  <c r="AU17" i="5"/>
  <c r="AG17" i="5"/>
  <c r="S17" i="5"/>
  <c r="E17" i="5"/>
  <c r="BV16" i="5"/>
  <c r="BU16" i="5"/>
  <c r="BT16" i="5"/>
  <c r="BS16" i="5"/>
  <c r="BR16" i="5"/>
  <c r="BQ16" i="5"/>
  <c r="BQ24" i="5" s="1"/>
  <c r="BQ26" i="5" s="1"/>
  <c r="BP16" i="5"/>
  <c r="BP24" i="5" s="1"/>
  <c r="BO16" i="5"/>
  <c r="BN16" i="5"/>
  <c r="BM16" i="5"/>
  <c r="BW16" i="5" s="1"/>
  <c r="BL16" i="5"/>
  <c r="BK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T16" i="5"/>
  <c r="AT24" i="5" s="1"/>
  <c r="AS16" i="5"/>
  <c r="AR16" i="5"/>
  <c r="AQ16" i="5"/>
  <c r="AP16" i="5"/>
  <c r="AO16" i="5"/>
  <c r="AN16" i="5"/>
  <c r="AM16" i="5"/>
  <c r="AL16" i="5"/>
  <c r="AK16" i="5"/>
  <c r="AJ16" i="5"/>
  <c r="AI16" i="5"/>
  <c r="AF16" i="5"/>
  <c r="AE16" i="5"/>
  <c r="AD16" i="5"/>
  <c r="AC16" i="5"/>
  <c r="AB16" i="5"/>
  <c r="AA16" i="5"/>
  <c r="Z16" i="5"/>
  <c r="AG16" i="5" s="1"/>
  <c r="Y16" i="5"/>
  <c r="X16" i="5"/>
  <c r="W16" i="5"/>
  <c r="V16" i="5"/>
  <c r="U16" i="5"/>
  <c r="R16" i="5"/>
  <c r="R24" i="5" s="1"/>
  <c r="Q16" i="5"/>
  <c r="Q24" i="5" s="1"/>
  <c r="P16" i="5"/>
  <c r="P24" i="5" s="1"/>
  <c r="O16" i="5"/>
  <c r="O24" i="5" s="1"/>
  <c r="O26" i="5" s="1"/>
  <c r="N16" i="5"/>
  <c r="N24" i="5" s="1"/>
  <c r="M16" i="5"/>
  <c r="L16" i="5"/>
  <c r="L24" i="5" s="1"/>
  <c r="K16" i="5"/>
  <c r="J16" i="5"/>
  <c r="I16" i="5"/>
  <c r="I24" i="5" s="1"/>
  <c r="H16" i="5"/>
  <c r="H24" i="5" s="1"/>
  <c r="G16" i="5"/>
  <c r="G24" i="5" s="1"/>
  <c r="E16" i="5"/>
  <c r="BW15" i="5"/>
  <c r="BI15" i="5"/>
  <c r="AU15" i="5"/>
  <c r="AG15" i="5"/>
  <c r="S15" i="5"/>
  <c r="E15" i="5"/>
  <c r="BW14" i="5"/>
  <c r="BI14" i="5"/>
  <c r="AU14" i="5"/>
  <c r="AG14" i="5"/>
  <c r="S14" i="5"/>
  <c r="E14" i="5"/>
  <c r="BV11" i="5"/>
  <c r="BQ11" i="5"/>
  <c r="BQ19" i="5" s="1"/>
  <c r="BP11" i="5"/>
  <c r="BP19" i="5" s="1"/>
  <c r="BO11" i="5"/>
  <c r="BO19" i="5" s="1"/>
  <c r="BL11" i="5"/>
  <c r="BF11" i="5"/>
  <c r="BF19" i="5" s="1"/>
  <c r="BE11" i="5"/>
  <c r="BE19" i="5" s="1"/>
  <c r="BD11" i="5"/>
  <c r="BD19" i="5" s="1"/>
  <c r="BA11" i="5"/>
  <c r="AT11" i="5"/>
  <c r="AT19" i="5" s="1"/>
  <c r="AS11" i="5"/>
  <c r="AS19" i="5" s="1"/>
  <c r="AP11" i="5"/>
  <c r="AK11" i="5"/>
  <c r="AK19" i="5" s="1"/>
  <c r="AJ11" i="5"/>
  <c r="AJ19" i="5" s="1"/>
  <c r="AI11" i="5"/>
  <c r="AI19" i="5" s="1"/>
  <c r="AE11" i="5"/>
  <c r="Z11" i="5"/>
  <c r="Z19" i="5" s="1"/>
  <c r="Y11" i="5"/>
  <c r="Y19" i="5" s="1"/>
  <c r="X11" i="5"/>
  <c r="X19" i="5" s="1"/>
  <c r="U11" i="5"/>
  <c r="O11" i="5"/>
  <c r="N11" i="5"/>
  <c r="N26" i="5" s="1"/>
  <c r="M11" i="5"/>
  <c r="J11" i="5"/>
  <c r="J26" i="5" s="1"/>
  <c r="E11" i="5"/>
  <c r="D11" i="5"/>
  <c r="C11" i="5"/>
  <c r="C26" i="5" s="1"/>
  <c r="BV10" i="5"/>
  <c r="BU10" i="5"/>
  <c r="BT10" i="5"/>
  <c r="BS10" i="5"/>
  <c r="BR10" i="5"/>
  <c r="BQ10" i="5"/>
  <c r="BP10" i="5"/>
  <c r="BO10" i="5"/>
  <c r="BN10" i="5"/>
  <c r="BM10" i="5"/>
  <c r="BW10" i="5" s="1"/>
  <c r="BL10" i="5"/>
  <c r="BK10" i="5"/>
  <c r="BH10" i="5"/>
  <c r="BG10" i="5"/>
  <c r="BF10" i="5"/>
  <c r="BE10" i="5"/>
  <c r="BD10" i="5"/>
  <c r="BC10" i="5"/>
  <c r="BB10" i="5"/>
  <c r="BA10" i="5"/>
  <c r="AZ10" i="5"/>
  <c r="AY10" i="5"/>
  <c r="BI10" i="5" s="1"/>
  <c r="AX10" i="5"/>
  <c r="AW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U10" i="5" s="1"/>
  <c r="AF10" i="5"/>
  <c r="AE10" i="5"/>
  <c r="AD10" i="5"/>
  <c r="AC10" i="5"/>
  <c r="AB10" i="5"/>
  <c r="AA10" i="5"/>
  <c r="Z10" i="5"/>
  <c r="Y10" i="5"/>
  <c r="X10" i="5"/>
  <c r="W10" i="5"/>
  <c r="AG10" i="5" s="1"/>
  <c r="V10" i="5"/>
  <c r="U10" i="5"/>
  <c r="R10" i="5"/>
  <c r="Q10" i="5"/>
  <c r="P10" i="5"/>
  <c r="O10" i="5"/>
  <c r="N10" i="5"/>
  <c r="M10" i="5"/>
  <c r="L10" i="5"/>
  <c r="K10" i="5"/>
  <c r="J10" i="5"/>
  <c r="I10" i="5"/>
  <c r="H10" i="5"/>
  <c r="S10" i="5" s="1"/>
  <c r="G10" i="5"/>
  <c r="BV9" i="5"/>
  <c r="BU9" i="5"/>
  <c r="BU11" i="5" s="1"/>
  <c r="BT9" i="5"/>
  <c r="BT11" i="5" s="1"/>
  <c r="BS9" i="5"/>
  <c r="BS11" i="5" s="1"/>
  <c r="BR9" i="5"/>
  <c r="BR11" i="5" s="1"/>
  <c r="BQ9" i="5"/>
  <c r="BP9" i="5"/>
  <c r="BO9" i="5"/>
  <c r="BN9" i="5"/>
  <c r="BN11" i="5" s="1"/>
  <c r="BM9" i="5"/>
  <c r="BM11" i="5" s="1"/>
  <c r="BL9" i="5"/>
  <c r="BK9" i="5"/>
  <c r="BK11" i="5" s="1"/>
  <c r="BH9" i="5"/>
  <c r="BH11" i="5" s="1"/>
  <c r="BG9" i="5"/>
  <c r="BG11" i="5" s="1"/>
  <c r="BF9" i="5"/>
  <c r="BE9" i="5"/>
  <c r="BD9" i="5"/>
  <c r="BC9" i="5"/>
  <c r="BC11" i="5" s="1"/>
  <c r="BB9" i="5"/>
  <c r="BB11" i="5" s="1"/>
  <c r="BA9" i="5"/>
  <c r="AZ9" i="5"/>
  <c r="AZ11" i="5" s="1"/>
  <c r="AY9" i="5"/>
  <c r="AY11" i="5" s="1"/>
  <c r="AX9" i="5"/>
  <c r="AX11" i="5" s="1"/>
  <c r="AW9" i="5"/>
  <c r="AW11" i="5" s="1"/>
  <c r="AT9" i="5"/>
  <c r="AS9" i="5"/>
  <c r="AR9" i="5"/>
  <c r="AR11" i="5" s="1"/>
  <c r="AQ9" i="5"/>
  <c r="AQ11" i="5" s="1"/>
  <c r="AP9" i="5"/>
  <c r="AO9" i="5"/>
  <c r="AO11" i="5" s="1"/>
  <c r="AN9" i="5"/>
  <c r="AN11" i="5" s="1"/>
  <c r="AM9" i="5"/>
  <c r="AM11" i="5" s="1"/>
  <c r="AL9" i="5"/>
  <c r="AL11" i="5" s="1"/>
  <c r="AK9" i="5"/>
  <c r="AJ9" i="5"/>
  <c r="AI9" i="5"/>
  <c r="AU9" i="5" s="1"/>
  <c r="AF9" i="5"/>
  <c r="AF11" i="5" s="1"/>
  <c r="AE9" i="5"/>
  <c r="AD9" i="5"/>
  <c r="AD11" i="5" s="1"/>
  <c r="AC9" i="5"/>
  <c r="AC11" i="5" s="1"/>
  <c r="AB9" i="5"/>
  <c r="AB11" i="5" s="1"/>
  <c r="AA9" i="5"/>
  <c r="AA11" i="5" s="1"/>
  <c r="Z9" i="5"/>
  <c r="Y9" i="5"/>
  <c r="X9" i="5"/>
  <c r="W9" i="5"/>
  <c r="W11" i="5" s="1"/>
  <c r="V9" i="5"/>
  <c r="V11" i="5" s="1"/>
  <c r="U9" i="5"/>
  <c r="AG9" i="5" s="1"/>
  <c r="R9" i="5"/>
  <c r="R11" i="5" s="1"/>
  <c r="R26" i="5" s="1"/>
  <c r="Q9" i="5"/>
  <c r="Q11" i="5" s="1"/>
  <c r="Q26" i="5" s="1"/>
  <c r="P9" i="5"/>
  <c r="P11" i="5" s="1"/>
  <c r="P26" i="5" s="1"/>
  <c r="O9" i="5"/>
  <c r="N9" i="5"/>
  <c r="M9" i="5"/>
  <c r="L9" i="5"/>
  <c r="L11" i="5" s="1"/>
  <c r="L26" i="5" s="1"/>
  <c r="K9" i="5"/>
  <c r="K11" i="5" s="1"/>
  <c r="K26" i="5" s="1"/>
  <c r="J9" i="5"/>
  <c r="I9" i="5"/>
  <c r="I11" i="5" s="1"/>
  <c r="I26" i="5" s="1"/>
  <c r="H9" i="5"/>
  <c r="H11" i="5" s="1"/>
  <c r="H26" i="5" s="1"/>
  <c r="G9" i="5"/>
  <c r="S9" i="5" s="1"/>
  <c r="BW8" i="5"/>
  <c r="BI8" i="5"/>
  <c r="AU8" i="5"/>
  <c r="AG8" i="5"/>
  <c r="S8" i="5"/>
  <c r="E8" i="5"/>
  <c r="C4" i="3"/>
  <c r="AN19" i="5" l="1"/>
  <c r="Q29" i="5"/>
  <c r="Q27" i="5"/>
  <c r="BB19" i="5"/>
  <c r="BB24" i="5" s="1"/>
  <c r="BB26" i="5"/>
  <c r="AB19" i="5"/>
  <c r="AB24" i="5"/>
  <c r="AB26" i="5" s="1"/>
  <c r="BM19" i="5"/>
  <c r="BM24" i="5" s="1"/>
  <c r="BM26" i="5"/>
  <c r="BD24" i="5"/>
  <c r="BD26" i="5" s="1"/>
  <c r="AN24" i="5"/>
  <c r="AN26" i="5" s="1"/>
  <c r="AD19" i="5"/>
  <c r="AD24" i="5" s="1"/>
  <c r="AD26" i="5" s="1"/>
  <c r="BN24" i="5"/>
  <c r="BN26" i="5" s="1"/>
  <c r="J27" i="5"/>
  <c r="J29" i="5"/>
  <c r="AZ24" i="5"/>
  <c r="AC19" i="5"/>
  <c r="AC24" i="5" s="1"/>
  <c r="AC26" i="5" s="1"/>
  <c r="AO24" i="5"/>
  <c r="BN19" i="5"/>
  <c r="AQ19" i="5"/>
  <c r="AQ24" i="5" s="1"/>
  <c r="AQ26" i="5"/>
  <c r="AR19" i="5"/>
  <c r="K27" i="5"/>
  <c r="K29" i="5"/>
  <c r="M26" i="5"/>
  <c r="BQ27" i="5"/>
  <c r="BQ29" i="5"/>
  <c r="L27" i="5"/>
  <c r="L29" i="5"/>
  <c r="AG11" i="5"/>
  <c r="AW19" i="5"/>
  <c r="BS19" i="5"/>
  <c r="BS24" i="5" s="1"/>
  <c r="BS26" i="5" s="1"/>
  <c r="BV26" i="5"/>
  <c r="Y24" i="5"/>
  <c r="Y26" i="5" s="1"/>
  <c r="AK24" i="5"/>
  <c r="AK26" i="5" s="1"/>
  <c r="AW24" i="5"/>
  <c r="AW26" i="5" s="1"/>
  <c r="AZ19" i="5"/>
  <c r="AZ26" i="5"/>
  <c r="AO19" i="5"/>
  <c r="AO26" i="5"/>
  <c r="H27" i="5"/>
  <c r="H29" i="5"/>
  <c r="AE26" i="5"/>
  <c r="I27" i="5"/>
  <c r="I29" i="5"/>
  <c r="V19" i="5"/>
  <c r="V24" i="5" s="1"/>
  <c r="V26" i="5"/>
  <c r="AR24" i="5"/>
  <c r="AR26" i="5" s="1"/>
  <c r="D40" i="5"/>
  <c r="D33" i="5"/>
  <c r="BR19" i="5"/>
  <c r="BR24" i="5" s="1"/>
  <c r="BR26" i="5" s="1"/>
  <c r="N27" i="5"/>
  <c r="N29" i="5"/>
  <c r="BF24" i="5"/>
  <c r="BF26" i="5" s="1"/>
  <c r="BG19" i="5"/>
  <c r="BG24" i="5" s="1"/>
  <c r="BG26" i="5" s="1"/>
  <c r="AU11" i="5"/>
  <c r="AX19" i="5"/>
  <c r="AX24" i="5" s="1"/>
  <c r="AX26" i="5" s="1"/>
  <c r="BT19" i="5"/>
  <c r="BT24" i="5"/>
  <c r="BT26" i="5" s="1"/>
  <c r="P29" i="5"/>
  <c r="P27" i="5"/>
  <c r="C29" i="5"/>
  <c r="E26" i="5"/>
  <c r="E29" i="5" s="1"/>
  <c r="R27" i="5"/>
  <c r="R29" i="5"/>
  <c r="BC19" i="5"/>
  <c r="BC24" i="5"/>
  <c r="BC26" i="5" s="1"/>
  <c r="AF19" i="5"/>
  <c r="AF24" i="5" s="1"/>
  <c r="AF26" i="5"/>
  <c r="W19" i="5"/>
  <c r="W24" i="5"/>
  <c r="W26" i="5" s="1"/>
  <c r="BE24" i="5"/>
  <c r="S11" i="5"/>
  <c r="S26" i="5" s="1"/>
  <c r="AJ24" i="5"/>
  <c r="AL19" i="5"/>
  <c r="AL24" i="5" s="1"/>
  <c r="AL26" i="5" s="1"/>
  <c r="BH19" i="5"/>
  <c r="BH24" i="5" s="1"/>
  <c r="BH26" i="5" s="1"/>
  <c r="AA19" i="5"/>
  <c r="AM19" i="5"/>
  <c r="AY19" i="5"/>
  <c r="BK19" i="5"/>
  <c r="BU19" i="5"/>
  <c r="S24" i="5"/>
  <c r="O27" i="5"/>
  <c r="O29" i="5"/>
  <c r="AA24" i="5"/>
  <c r="AA26" i="5" s="1"/>
  <c r="AM24" i="5"/>
  <c r="AM26" i="5" s="1"/>
  <c r="AY24" i="5"/>
  <c r="AY26" i="5" s="1"/>
  <c r="BK24" i="5"/>
  <c r="BK26" i="5" s="1"/>
  <c r="BU24" i="5"/>
  <c r="BU26" i="5" s="1"/>
  <c r="U19" i="5"/>
  <c r="AE19" i="5"/>
  <c r="AE24" i="5" s="1"/>
  <c r="AP19" i="5"/>
  <c r="AP24" i="5" s="1"/>
  <c r="AP26" i="5" s="1"/>
  <c r="BA19" i="5"/>
  <c r="BA24" i="5" s="1"/>
  <c r="BA26" i="5" s="1"/>
  <c r="BL19" i="5"/>
  <c r="BL24" i="5" s="1"/>
  <c r="BL26" i="5" s="1"/>
  <c r="BV19" i="5"/>
  <c r="BV24" i="5" s="1"/>
  <c r="AU16" i="5"/>
  <c r="X26" i="5"/>
  <c r="AI26" i="5"/>
  <c r="AS26" i="5"/>
  <c r="BO26" i="5"/>
  <c r="BI9" i="5"/>
  <c r="BI11" i="5" s="1"/>
  <c r="AU18" i="5"/>
  <c r="AJ26" i="5"/>
  <c r="AT26" i="5"/>
  <c r="BE26" i="5"/>
  <c r="BP26" i="5"/>
  <c r="BI16" i="5"/>
  <c r="G11" i="5"/>
  <c r="G26" i="5" s="1"/>
  <c r="S16" i="5"/>
  <c r="BW9" i="5"/>
  <c r="BW11" i="5" s="1"/>
  <c r="Z24" i="5"/>
  <c r="Z26" i="5" s="1"/>
  <c r="BU27" i="5" l="1"/>
  <c r="BU29" i="5"/>
  <c r="AX29" i="5"/>
  <c r="AX27" i="5"/>
  <c r="AB29" i="5"/>
  <c r="AB27" i="5"/>
  <c r="AM29" i="5"/>
  <c r="AM27" i="5"/>
  <c r="AL29" i="5"/>
  <c r="AL27" i="5"/>
  <c r="BA27" i="5"/>
  <c r="BA29" i="5"/>
  <c r="BN27" i="5"/>
  <c r="BN29" i="5"/>
  <c r="BT27" i="5"/>
  <c r="BT29" i="5"/>
  <c r="AR27" i="5"/>
  <c r="AR29" i="5"/>
  <c r="AC27" i="5"/>
  <c r="AC29" i="5"/>
  <c r="BH29" i="5"/>
  <c r="BH27" i="5"/>
  <c r="AA29" i="5"/>
  <c r="AA27" i="5"/>
  <c r="BL27" i="5"/>
  <c r="BL29" i="5"/>
  <c r="BS27" i="5"/>
  <c r="BS29" i="5"/>
  <c r="AD27" i="5"/>
  <c r="AD29" i="5"/>
  <c r="BD27" i="5"/>
  <c r="BD29" i="5"/>
  <c r="BK27" i="5"/>
  <c r="BK29" i="5"/>
  <c r="AY27" i="5"/>
  <c r="AY29" i="5"/>
  <c r="BC27" i="5"/>
  <c r="BC29" i="5"/>
  <c r="AW29" i="5"/>
  <c r="AW27" i="5"/>
  <c r="BG29" i="5"/>
  <c r="BG27" i="5"/>
  <c r="Y27" i="5"/>
  <c r="Y29" i="5"/>
  <c r="AP27" i="5"/>
  <c r="AP29" i="5"/>
  <c r="W27" i="5"/>
  <c r="W29" i="5"/>
  <c r="BR29" i="5"/>
  <c r="BR27" i="5"/>
  <c r="AN27" i="5"/>
  <c r="AN29" i="5"/>
  <c r="AE27" i="5"/>
  <c r="AE29" i="5"/>
  <c r="AK27" i="5"/>
  <c r="AK29" i="5"/>
  <c r="X27" i="5"/>
  <c r="X29" i="5"/>
  <c r="AI27" i="5"/>
  <c r="AI29" i="5"/>
  <c r="AT27" i="5"/>
  <c r="AT29" i="5"/>
  <c r="AO27" i="5"/>
  <c r="AO29" i="5"/>
  <c r="AJ27" i="5"/>
  <c r="AJ29" i="5"/>
  <c r="K31" i="5"/>
  <c r="K33" i="5" s="1"/>
  <c r="S27" i="5"/>
  <c r="S29" i="5"/>
  <c r="R31" i="5"/>
  <c r="R33" i="5"/>
  <c r="AU19" i="5"/>
  <c r="AU24" i="5" s="1"/>
  <c r="AU26" i="5" s="1"/>
  <c r="BI19" i="5"/>
  <c r="BI24" i="5" s="1"/>
  <c r="BI26" i="5" s="1"/>
  <c r="Q31" i="5"/>
  <c r="Q33" i="5" s="1"/>
  <c r="AS27" i="5"/>
  <c r="AS29" i="5"/>
  <c r="AF27" i="5"/>
  <c r="AF29" i="5"/>
  <c r="P31" i="5"/>
  <c r="P33" i="5"/>
  <c r="BQ31" i="5"/>
  <c r="BQ33" i="5"/>
  <c r="BW19" i="5"/>
  <c r="BW24" i="5" s="1"/>
  <c r="BW26" i="5" s="1"/>
  <c r="BV27" i="5"/>
  <c r="BV29" i="5"/>
  <c r="BB27" i="5"/>
  <c r="BB29" i="5"/>
  <c r="O31" i="5"/>
  <c r="O33" i="5"/>
  <c r="BF27" i="5"/>
  <c r="BF29" i="5"/>
  <c r="BO27" i="5"/>
  <c r="BO29" i="5"/>
  <c r="N31" i="5"/>
  <c r="N33" i="5"/>
  <c r="I31" i="5"/>
  <c r="I33" i="5"/>
  <c r="AQ27" i="5"/>
  <c r="AQ29" i="5"/>
  <c r="J31" i="5"/>
  <c r="J33" i="5"/>
  <c r="BM27" i="5"/>
  <c r="BM29" i="5"/>
  <c r="BP27" i="5"/>
  <c r="BP29" i="5"/>
  <c r="H31" i="5"/>
  <c r="H33" i="5"/>
  <c r="BE27" i="5"/>
  <c r="BE29" i="5"/>
  <c r="M27" i="5"/>
  <c r="M29" i="5"/>
  <c r="V27" i="5"/>
  <c r="V29" i="5"/>
  <c r="Z27" i="5"/>
  <c r="Z29" i="5"/>
  <c r="AZ27" i="5"/>
  <c r="AZ29" i="5"/>
  <c r="G29" i="5"/>
  <c r="G27" i="5"/>
  <c r="AG19" i="5"/>
  <c r="AG24" i="5" s="1"/>
  <c r="AG26" i="5" s="1"/>
  <c r="U24" i="5"/>
  <c r="U26" i="5" s="1"/>
  <c r="C40" i="5"/>
  <c r="D41" i="5" s="1"/>
  <c r="C33" i="5"/>
  <c r="E33" i="5" s="1"/>
  <c r="L31" i="5"/>
  <c r="L33" i="5" s="1"/>
  <c r="BW27" i="5" l="1"/>
  <c r="BW29" i="5"/>
  <c r="Q34" i="5"/>
  <c r="Q40" i="5"/>
  <c r="AG27" i="5"/>
  <c r="AG29" i="5"/>
  <c r="K34" i="5"/>
  <c r="K40" i="5"/>
  <c r="L34" i="5"/>
  <c r="L40" i="5"/>
  <c r="BI27" i="5"/>
  <c r="BI29" i="5"/>
  <c r="AU27" i="5"/>
  <c r="AU29" i="5"/>
  <c r="BC31" i="5"/>
  <c r="BC33" i="5" s="1"/>
  <c r="J34" i="5"/>
  <c r="J40" i="5"/>
  <c r="AO31" i="5"/>
  <c r="AO33" i="5"/>
  <c r="AK31" i="5"/>
  <c r="AK33" i="5"/>
  <c r="M31" i="5"/>
  <c r="M33" i="5"/>
  <c r="BQ34" i="5"/>
  <c r="BQ40" i="5"/>
  <c r="AE31" i="5"/>
  <c r="AE33" i="5"/>
  <c r="AT31" i="5"/>
  <c r="AT33" i="5" s="1"/>
  <c r="BT31" i="5"/>
  <c r="BT33" i="5"/>
  <c r="G31" i="5"/>
  <c r="G33" i="5"/>
  <c r="BK31" i="5"/>
  <c r="BK33" i="5"/>
  <c r="H40" i="5"/>
  <c r="H34" i="5"/>
  <c r="S31" i="5"/>
  <c r="S33" i="5" s="1"/>
  <c r="BB31" i="5"/>
  <c r="BB33" i="5" s="1"/>
  <c r="AI31" i="5"/>
  <c r="AI33" i="5"/>
  <c r="BG31" i="5"/>
  <c r="BG33" i="5"/>
  <c r="AA31" i="5"/>
  <c r="AA33" i="5"/>
  <c r="BR31" i="5"/>
  <c r="BR33" i="5" s="1"/>
  <c r="BA31" i="5"/>
  <c r="BA33" i="5"/>
  <c r="AL31" i="5"/>
  <c r="AL33" i="5"/>
  <c r="BS31" i="5"/>
  <c r="BS33" i="5"/>
  <c r="AM31" i="5"/>
  <c r="AM33" i="5"/>
  <c r="AQ33" i="5"/>
  <c r="AQ31" i="5"/>
  <c r="R40" i="5"/>
  <c r="R34" i="5"/>
  <c r="BL31" i="5"/>
  <c r="BL33" i="5"/>
  <c r="O34" i="5"/>
  <c r="O40" i="5"/>
  <c r="AN31" i="5"/>
  <c r="AN33" i="5"/>
  <c r="AB31" i="5"/>
  <c r="AB33" i="5" s="1"/>
  <c r="AZ31" i="5"/>
  <c r="AZ33" i="5"/>
  <c r="AX31" i="5"/>
  <c r="AX33" i="5"/>
  <c r="Z31" i="5"/>
  <c r="Z33" i="5"/>
  <c r="AS31" i="5"/>
  <c r="AS33" i="5"/>
  <c r="N34" i="5"/>
  <c r="N40" i="5"/>
  <c r="BV31" i="5"/>
  <c r="BV33" i="5"/>
  <c r="X31" i="5"/>
  <c r="X33" i="5"/>
  <c r="W31" i="5"/>
  <c r="W33" i="5" s="1"/>
  <c r="AW31" i="5"/>
  <c r="AW33" i="5"/>
  <c r="BH31" i="5"/>
  <c r="BH33" i="5" s="1"/>
  <c r="BU31" i="5"/>
  <c r="BU33" i="5"/>
  <c r="BO31" i="5"/>
  <c r="BO33" i="5"/>
  <c r="U27" i="5"/>
  <c r="U29" i="5"/>
  <c r="AP31" i="5"/>
  <c r="AP33" i="5"/>
  <c r="AR33" i="5"/>
  <c r="AR31" i="5"/>
  <c r="BF31" i="5"/>
  <c r="BF33" i="5"/>
  <c r="AY31" i="5"/>
  <c r="AY33" i="5"/>
  <c r="BE31" i="5"/>
  <c r="BE33" i="5"/>
  <c r="P34" i="5"/>
  <c r="P40" i="5"/>
  <c r="Y31" i="5"/>
  <c r="Y33" i="5" s="1"/>
  <c r="AF31" i="5"/>
  <c r="AF33" i="5" s="1"/>
  <c r="BN31" i="5"/>
  <c r="BN33" i="5" s="1"/>
  <c r="I34" i="5"/>
  <c r="I40" i="5"/>
  <c r="BD31" i="5"/>
  <c r="BD33" i="5"/>
  <c r="BP31" i="5"/>
  <c r="BP33" i="5" s="1"/>
  <c r="V31" i="5"/>
  <c r="V33" i="5" s="1"/>
  <c r="BM31" i="5"/>
  <c r="BM33" i="5" s="1"/>
  <c r="AJ31" i="5"/>
  <c r="AJ33" i="5"/>
  <c r="AD31" i="5"/>
  <c r="AD33" i="5"/>
  <c r="AC31" i="5"/>
  <c r="AC33" i="5" s="1"/>
  <c r="BM34" i="5" l="1"/>
  <c r="BM40" i="5"/>
  <c r="V34" i="5"/>
  <c r="V40" i="5"/>
  <c r="AT34" i="5"/>
  <c r="AT40" i="5"/>
  <c r="BP34" i="5"/>
  <c r="BP40" i="5"/>
  <c r="BB34" i="5"/>
  <c r="BB40" i="5"/>
  <c r="BC34" i="5"/>
  <c r="BC40" i="5"/>
  <c r="W34" i="5"/>
  <c r="W40" i="5"/>
  <c r="S34" i="5"/>
  <c r="S40" i="5"/>
  <c r="AC40" i="5"/>
  <c r="AC34" i="5"/>
  <c r="BR34" i="5"/>
  <c r="BR40" i="5"/>
  <c r="AB34" i="5"/>
  <c r="AB40" i="5"/>
  <c r="BN34" i="5"/>
  <c r="BN40" i="5"/>
  <c r="AF34" i="5"/>
  <c r="AF40" i="5"/>
  <c r="BH34" i="5"/>
  <c r="BH40" i="5"/>
  <c r="Y34" i="5"/>
  <c r="Y40" i="5"/>
  <c r="AD34" i="5"/>
  <c r="AD40" i="5"/>
  <c r="AP34" i="5"/>
  <c r="AP40" i="5"/>
  <c r="AN40" i="5"/>
  <c r="AN34" i="5"/>
  <c r="BE34" i="5"/>
  <c r="BE40" i="5"/>
  <c r="AG31" i="5"/>
  <c r="AG33" i="5" s="1"/>
  <c r="AY40" i="5"/>
  <c r="AY34" i="5"/>
  <c r="BO34" i="5"/>
  <c r="BO40" i="5"/>
  <c r="BL34" i="5"/>
  <c r="BL40" i="5"/>
  <c r="AL34" i="5"/>
  <c r="AL40" i="5"/>
  <c r="M34" i="5"/>
  <c r="M40" i="5"/>
  <c r="BU34" i="5"/>
  <c r="BU40" i="5"/>
  <c r="BT40" i="5"/>
  <c r="BT34" i="5"/>
  <c r="AK34" i="5"/>
  <c r="AK40" i="5"/>
  <c r="AO34" i="5"/>
  <c r="AO40" i="5"/>
  <c r="AW34" i="5"/>
  <c r="AW40" i="5"/>
  <c r="AM34" i="5"/>
  <c r="AM40" i="5"/>
  <c r="AE34" i="5"/>
  <c r="AE40" i="5"/>
  <c r="BG34" i="5"/>
  <c r="BG40" i="5"/>
  <c r="X34" i="5"/>
  <c r="X40" i="5"/>
  <c r="G40" i="5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AU31" i="5"/>
  <c r="AU33" i="5"/>
  <c r="AZ34" i="5"/>
  <c r="AZ40" i="5"/>
  <c r="BI31" i="5"/>
  <c r="BI33" i="5"/>
  <c r="BW31" i="5"/>
  <c r="BW33" i="5" s="1"/>
  <c r="AR34" i="5"/>
  <c r="AR40" i="5"/>
  <c r="AQ34" i="5"/>
  <c r="AQ40" i="5"/>
  <c r="BD34" i="5"/>
  <c r="BD40" i="5"/>
  <c r="AS34" i="5"/>
  <c r="AS40" i="5"/>
  <c r="AA34" i="5"/>
  <c r="AA40" i="5"/>
  <c r="AJ34" i="5"/>
  <c r="AJ40" i="5"/>
  <c r="U31" i="5"/>
  <c r="U33" i="5"/>
  <c r="Z34" i="5"/>
  <c r="Z40" i="5"/>
  <c r="BS34" i="5"/>
  <c r="BS40" i="5"/>
  <c r="BK34" i="5"/>
  <c r="BK40" i="5"/>
  <c r="AX34" i="5"/>
  <c r="AX40" i="5"/>
  <c r="AI34" i="5"/>
  <c r="AI40" i="5"/>
  <c r="BF34" i="5"/>
  <c r="BF40" i="5"/>
  <c r="BV34" i="5"/>
  <c r="BV40" i="5"/>
  <c r="BA34" i="5"/>
  <c r="BA40" i="5"/>
  <c r="AG34" i="5" l="1"/>
  <c r="AG40" i="5"/>
  <c r="BW34" i="5"/>
  <c r="BW40" i="5"/>
  <c r="S41" i="5"/>
  <c r="U34" i="5"/>
  <c r="U40" i="5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BI40" i="5"/>
  <c r="BI34" i="5"/>
  <c r="AU34" i="5"/>
  <c r="AU40" i="5"/>
  <c r="AI41" i="5" l="1"/>
  <c r="AJ41" i="5" s="1"/>
  <c r="AK41" i="5" s="1"/>
  <c r="AL41" i="5" s="1"/>
  <c r="AM41" i="5" s="1"/>
  <c r="AN41" i="5" s="1"/>
  <c r="AO41" i="5" s="1"/>
  <c r="AP41" i="5" s="1"/>
  <c r="AQ41" i="5" s="1"/>
  <c r="AR41" i="5" s="1"/>
  <c r="AS41" i="5" s="1"/>
  <c r="AT41" i="5" s="1"/>
  <c r="AG41" i="5"/>
  <c r="AW41" i="5" l="1"/>
  <c r="AX41" i="5" s="1"/>
  <c r="AY41" i="5" s="1"/>
  <c r="AZ41" i="5" s="1"/>
  <c r="BA41" i="5" s="1"/>
  <c r="BB41" i="5" s="1"/>
  <c r="BC41" i="5" s="1"/>
  <c r="BD41" i="5" s="1"/>
  <c r="BE41" i="5" s="1"/>
  <c r="BF41" i="5" s="1"/>
  <c r="BG41" i="5" s="1"/>
  <c r="BH41" i="5" s="1"/>
  <c r="AU41" i="5"/>
  <c r="BK41" i="5" l="1"/>
  <c r="BL41" i="5" s="1"/>
  <c r="BM41" i="5" s="1"/>
  <c r="BN41" i="5" s="1"/>
  <c r="BO41" i="5" s="1"/>
  <c r="BP41" i="5" s="1"/>
  <c r="BQ41" i="5" s="1"/>
  <c r="BR41" i="5" s="1"/>
  <c r="BS41" i="5" s="1"/>
  <c r="BT41" i="5" s="1"/>
  <c r="BU41" i="5" s="1"/>
  <c r="BV41" i="5" s="1"/>
  <c r="BW41" i="5" s="1"/>
  <c r="BI41" i="5"/>
</calcChain>
</file>

<file path=xl/sharedStrings.xml><?xml version="1.0" encoding="utf-8"?>
<sst xmlns="http://schemas.openxmlformats.org/spreadsheetml/2006/main" count="188" uniqueCount="108">
  <si>
    <t>Please see Laundre Franchising Pty Ltd Disclosure documents for full disclosure statements</t>
  </si>
  <si>
    <t>The franchisor (Laundre Franchising Pty Ltd) cannot give earnings information about a Laundré franchise.</t>
  </si>
  <si>
    <t>Earnings may vary between franchises.</t>
  </si>
  <si>
    <t>The franchisor cannot estimate earnings for a particular franchise. </t>
  </si>
  <si>
    <t xml:space="preserve">The following sheets are projections only and each franchise is different based on size &amp; location. </t>
  </si>
  <si>
    <t>Assumptions:</t>
  </si>
  <si>
    <t>Washing/Drying</t>
  </si>
  <si>
    <t xml:space="preserve">This is the core earning engine of the Laundré model. Earning potential is driven by machine mix (small / medium / large), pricing per cycle, seasonality, hours of operation, and utilisation (turns per day). You can assume the year 3-4 will see stabilisation of revenue which should sit between $200,000p.a. and $400,000p.a. This can be made up of instore purchases, wallet top ups or subscription. </t>
  </si>
  <si>
    <t>Dog Wash</t>
  </si>
  <si>
    <t xml:space="preserve">Depending on size of your Laundre we would advise for a Dog Wash facilitiy. This is a secitonal part of the laundromat that allows customer to wash their dogs, which will also compliment the pet-only washer and dryer. The dog wash can be expected to add 15-20% of revenue on top of self-service revenue.  </t>
  </si>
  <si>
    <t>Wash Buoys</t>
  </si>
  <si>
    <t xml:space="preserve">A revenue share model between the Wash Buoys and the franchisee, where the franchisee earns $0.49 for every pod packet dispensed from their laundromat. Assumption is 50% of patrons use Detergent that is avaliable on site. </t>
  </si>
  <si>
    <t>Accounting Fees</t>
  </si>
  <si>
    <t>We assume most Franchisee will have an account handle this and we think it will be $200 per month as a guide</t>
  </si>
  <si>
    <t>Cleaning</t>
  </si>
  <si>
    <t xml:space="preserve">Guide for cleaning fees is .05% of revenue this may be higher as laundromat gains traction but likely capped at $25,000 p.a. </t>
  </si>
  <si>
    <t>Insurance</t>
  </si>
  <si>
    <t xml:space="preserve">Insurance can range from $3,000 - $10,000 per year. This depends on the type of building your laundromat is in, and the insurers risk appetite which can waiver from year to year. </t>
  </si>
  <si>
    <t>Electricity &amp; Gas</t>
  </si>
  <si>
    <t xml:space="preserve">Electricity and Gas will make up between 10-20% of revenue. This cost scales with revenue increasing as it as direct correlation between machine use and consumption. Variables include provider pricing, govenment charges, customer promotions/incentives e.g. Free Hot Water = higher gas consumption but potentially more market share which = more revenue </t>
  </si>
  <si>
    <t>Franchise / Management Service</t>
  </si>
  <si>
    <t xml:space="preserve">15% of revenue, waived for first 12 months of operation. Includes full management of cleaning, maintenance, customer service and marketing. </t>
  </si>
  <si>
    <t xml:space="preserve">Rent </t>
  </si>
  <si>
    <t>This will be the bigegst expense which will typically sit between $4000 - $6000 per month (inc Outgoings). The assumption is to find the best location, not the cheapest rent.</t>
  </si>
  <si>
    <t>Repairs &amp; Maintenance</t>
  </si>
  <si>
    <t xml:space="preserve">Assuming ebs and flows between months with gradual annual increases as machines age, allowing $100 - $200 per month is advisable. </t>
  </si>
  <si>
    <t>Subscriptions</t>
  </si>
  <si>
    <t xml:space="preserve">Point of Sale &amp; offline payment network, Commerical music streaming, electrical/ lighting automation, auto-door automation, ai telephone. </t>
  </si>
  <si>
    <t>Internet</t>
  </si>
  <si>
    <t xml:space="preserve">High Speed internet usually around $100 - $150 per month depending on location. </t>
  </si>
  <si>
    <t>Category</t>
  </si>
  <si>
    <t>Supplier</t>
  </si>
  <si>
    <t xml:space="preserve">Quotes/Allowances (inc GST) </t>
  </si>
  <si>
    <t>Equipment</t>
  </si>
  <si>
    <t>Washers + Dryers + Vending + Pet</t>
  </si>
  <si>
    <t>Fit Out</t>
  </si>
  <si>
    <t>Fitout</t>
  </si>
  <si>
    <t>Totals</t>
  </si>
  <si>
    <t>Cashflow Projections</t>
  </si>
  <si>
    <t>PROFIT &amp; LOSS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</si>
  <si>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</si>
  <si>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</si>
  <si>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</si>
  <si>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</si>
  <si>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</si>
  <si>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</si>
  <si>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</si>
  <si>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</si>
  <si>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</si>
  <si>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</si>
  <si>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</si>
  <si>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</si>
  <si>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</si>
  <si>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Total</t>
  </si>
  <si>
    <t>Revenue</t>
  </si>
  <si>
    <t>Sales</t>
  </si>
  <si>
    <t>Cost of Sales</t>
  </si>
  <si>
    <t>COS Goods</t>
  </si>
  <si>
    <t>Gross Profit</t>
  </si>
  <si>
    <t>Expenses</t>
  </si>
  <si>
    <t>Markeitng</t>
  </si>
  <si>
    <t>Bank Fees</t>
  </si>
  <si>
    <t>Consulting &amp; Accounting</t>
  </si>
  <si>
    <t>Security</t>
  </si>
  <si>
    <t>Commercial Music Streaming</t>
  </si>
  <si>
    <t>Legal Expenses</t>
  </si>
  <si>
    <t>Light, Power &amp; Heating</t>
  </si>
  <si>
    <t>Telephone &amp; Internet</t>
  </si>
  <si>
    <t>Total Expenses</t>
  </si>
  <si>
    <t>Operating Profit</t>
  </si>
  <si>
    <t>Interest Expenses</t>
  </si>
  <si>
    <t>Interest Expense</t>
  </si>
  <si>
    <t>Earnings Before Tax</t>
  </si>
  <si>
    <t>Net Income</t>
  </si>
  <si>
    <t>Profit &amp; Loss</t>
  </si>
  <si>
    <t>Year 1</t>
  </si>
  <si>
    <t>Year 2</t>
  </si>
  <si>
    <t>Year 3</t>
  </si>
  <si>
    <t>Year 4</t>
  </si>
  <si>
    <t>Year 5</t>
  </si>
  <si>
    <t>Days in the month</t>
  </si>
  <si>
    <t>Setup</t>
  </si>
  <si>
    <t>Go Live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</si>
  <si>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</si>
  <si>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</si>
  <si>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</si>
  <si>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</si>
  <si>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</si>
  <si>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</si>
  <si>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</si>
  <si>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</si>
  <si>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</si>
  <si>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</si>
  <si>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</si>
  <si>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</si>
  <si>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Washing Tablets (WashBuoys)</t>
  </si>
  <si>
    <t>Total Revenue</t>
  </si>
  <si>
    <t>Advertising &amp; Marketing</t>
  </si>
  <si>
    <t>Franchise, Management &amp; Marketing Service</t>
  </si>
  <si>
    <t>Rent (9-12 months rent free)</t>
  </si>
  <si>
    <t>Operating Profit % Margin</t>
  </si>
  <si>
    <t>Income Tax 30%</t>
  </si>
  <si>
    <t>Net Profit</t>
  </si>
  <si>
    <t>Margin</t>
  </si>
  <si>
    <t>Cashflow</t>
  </si>
  <si>
    <t>GST</t>
  </si>
  <si>
    <t>Profit/(Loss)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</si>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</sst>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(&quot;$&quot;#,##0\)"/>
    <numFmt numFmtId="165" formatCode="&quot;$&quot;#,##0.00"/>
    <numFmt numFmtId="166" formatCode="&quot;$&quot;#,##0;[Red]\-&quot;$&quot;#,##0"/>
    <numFmt numFmtId="167" formatCode="[$$-809]#,##0"/>
  </numFmts>
  <fonts count="18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9"/>
      <color theme="1"/>
      <name val="Calibri"/>
      <scheme val="minor"/>
    </font>
    <font>
      <sz val="9"/>
      <color rgb="FF000000"/>
      <name val="Arial"/>
    </font>
    <font>
      <sz val="9"/>
      <color theme="1"/>
      <name val="Arial"/>
    </font>
    <font>
      <b/>
      <sz val="11"/>
      <color theme="1"/>
      <name val="Calibri"/>
      <scheme val="minor"/>
    </font>
    <font>
      <b/>
      <sz val="8"/>
      <color theme="1"/>
      <name val="Arial"/>
    </font>
    <font>
      <sz val="11"/>
      <color theme="1"/>
      <name val="Calibri"/>
      <scheme val="minor"/>
    </font>
    <font>
      <sz val="8"/>
      <color theme="1"/>
      <name val="Arial"/>
    </font>
    <font>
      <b/>
      <sz val="11"/>
      <color rgb="FFFF0000"/>
      <name val="Arial"/>
    </font>
    <font>
      <sz val="11"/>
      <color rgb="FFFF0000"/>
      <name val="Calibri"/>
      <scheme val="minor"/>
    </font>
    <font>
      <sz val="11"/>
      <color theme="1"/>
      <name val="Calibri"/>
    </font>
    <font>
      <sz val="16"/>
      <color theme="1"/>
      <name val="Arial"/>
    </font>
    <font>
      <sz val="10"/>
      <color rgb="FF666666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Calibri"/>
    </font>
    <font>
      <b/>
      <sz val="9"/>
      <color rgb="FF666666"/>
      <name val="Arial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164" fontId="1" fillId="0" borderId="1" xfId="0" applyNumberFormat="1" applyFont="1" applyBorder="1"/>
    <xf numFmtId="0" fontId="4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164" fontId="8" fillId="0" borderId="0" xfId="0" applyNumberFormat="1" applyFont="1"/>
    <xf numFmtId="164" fontId="9" fillId="0" borderId="0" xfId="0" applyNumberFormat="1" applyFont="1"/>
    <xf numFmtId="0" fontId="10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textRotation="90"/>
    </xf>
    <xf numFmtId="0" fontId="4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right"/>
    </xf>
    <xf numFmtId="166" fontId="4" fillId="0" borderId="9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5" borderId="10" xfId="0" applyFont="1" applyFill="1" applyBorder="1"/>
    <xf numFmtId="0" fontId="11" fillId="5" borderId="10" xfId="0" applyFont="1" applyFill="1" applyBorder="1"/>
    <xf numFmtId="0" fontId="8" fillId="0" borderId="0" xfId="0" applyFont="1"/>
    <xf numFmtId="167" fontId="8" fillId="0" borderId="0" xfId="0" applyNumberFormat="1" applyFont="1"/>
    <xf numFmtId="0" fontId="6" fillId="0" borderId="0" xfId="0" applyFont="1"/>
    <xf numFmtId="0" fontId="15" fillId="5" borderId="10" xfId="0" applyFont="1" applyFill="1" applyBorder="1"/>
    <xf numFmtId="2" fontId="4" fillId="0" borderId="0" xfId="0" applyNumberFormat="1" applyFont="1"/>
    <xf numFmtId="2" fontId="1" fillId="0" borderId="0" xfId="0" applyNumberFormat="1" applyFont="1"/>
    <xf numFmtId="1" fontId="4" fillId="0" borderId="0" xfId="0" applyNumberFormat="1" applyFont="1"/>
    <xf numFmtId="1" fontId="1" fillId="0" borderId="0" xfId="0" applyNumberFormat="1" applyFont="1"/>
    <xf numFmtId="0" fontId="4" fillId="7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9" borderId="10" xfId="0" quotePrefix="1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4" fillId="0" borderId="0" xfId="0" applyNumberFormat="1" applyFont="1"/>
    <xf numFmtId="164" fontId="4" fillId="10" borderId="0" xfId="0" applyNumberFormat="1" applyFont="1" applyFill="1"/>
    <xf numFmtId="164" fontId="1" fillId="10" borderId="0" xfId="0" applyNumberFormat="1" applyFont="1" applyFill="1"/>
    <xf numFmtId="164" fontId="4" fillId="11" borderId="0" xfId="0" applyNumberFormat="1" applyFont="1" applyFill="1"/>
    <xf numFmtId="164" fontId="4" fillId="0" borderId="14" xfId="0" applyNumberFormat="1" applyFont="1" applyBorder="1"/>
    <xf numFmtId="164" fontId="1" fillId="0" borderId="14" xfId="0" applyNumberFormat="1" applyFont="1" applyBorder="1"/>
    <xf numFmtId="9" fontId="1" fillId="0" borderId="0" xfId="0" applyNumberFormat="1" applyFont="1"/>
    <xf numFmtId="164" fontId="1" fillId="11" borderId="15" xfId="0" applyNumberFormat="1" applyFont="1" applyFill="1" applyBorder="1"/>
    <xf numFmtId="164" fontId="1" fillId="8" borderId="10" xfId="0" applyNumberFormat="1" applyFont="1" applyFill="1" applyBorder="1"/>
    <xf numFmtId="164" fontId="4" fillId="0" borderId="16" xfId="0" applyNumberFormat="1" applyFont="1" applyBorder="1"/>
    <xf numFmtId="164" fontId="1" fillId="0" borderId="16" xfId="0" applyNumberFormat="1" applyFont="1" applyBorder="1"/>
    <xf numFmtId="10" fontId="1" fillId="0" borderId="16" xfId="0" applyNumberFormat="1" applyFont="1" applyBorder="1"/>
    <xf numFmtId="9" fontId="4" fillId="0" borderId="0" xfId="0" applyNumberFormat="1" applyFont="1"/>
    <xf numFmtId="0" fontId="1" fillId="6" borderId="11" xfId="0" applyFont="1" applyFill="1" applyBorder="1" applyAlignment="1">
      <alignment horizontal="center"/>
    </xf>
    <xf numFmtId="0" fontId="16" fillId="0" borderId="12" xfId="0" applyFont="1" applyBorder="1"/>
    <xf numFmtId="0" fontId="16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5" defaultRowHeight="15" customHeight="1" x14ac:dyDescent="0.2"/>
  <cols>
    <col min="1" max="1" width="79.5" customWidth="1"/>
    <col min="2" max="26" width="10.6640625" customWidth="1"/>
  </cols>
  <sheetData>
    <row r="1" spans="1:26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92"/>
  <sheetViews>
    <sheetView workbookViewId="0"/>
  </sheetViews>
  <sheetFormatPr baseColWidth="10" defaultColWidth="14.5" defaultRowHeight="15" customHeight="1" x14ac:dyDescent="0.2"/>
  <cols>
    <col min="1" max="1" width="23.83203125" customWidth="1"/>
    <col min="2" max="2" width="111.5" customWidth="1"/>
  </cols>
  <sheetData>
    <row r="1" spans="1:2" ht="40.5" customHeight="1" x14ac:dyDescent="0.2">
      <c r="A1" s="5" t="s">
        <v>5</v>
      </c>
    </row>
    <row r="2" spans="1:2" ht="40.5" customHeight="1" x14ac:dyDescent="0.2">
      <c r="A2" s="6"/>
    </row>
    <row r="3" spans="1:2" ht="40.5" customHeight="1" x14ac:dyDescent="0.2">
      <c r="A3" s="7" t="s">
        <v>6</v>
      </c>
      <c r="B3" s="8" t="s">
        <v>7</v>
      </c>
    </row>
    <row r="4" spans="1:2" ht="40.5" customHeight="1" x14ac:dyDescent="0.2">
      <c r="A4" s="7" t="s">
        <v>8</v>
      </c>
      <c r="B4" s="8" t="s">
        <v>9</v>
      </c>
    </row>
    <row r="5" spans="1:2" ht="40.5" customHeight="1" x14ac:dyDescent="0.2">
      <c r="A5" s="7" t="s">
        <v>10</v>
      </c>
      <c r="B5" s="8" t="s">
        <v>11</v>
      </c>
    </row>
    <row r="6" spans="1:2" ht="40.5" customHeight="1" x14ac:dyDescent="0.2">
      <c r="A6" s="7" t="s">
        <v>12</v>
      </c>
      <c r="B6" s="8" t="s">
        <v>13</v>
      </c>
    </row>
    <row r="7" spans="1:2" ht="40.5" customHeight="1" x14ac:dyDescent="0.2">
      <c r="A7" s="7" t="s">
        <v>14</v>
      </c>
      <c r="B7" s="8" t="s">
        <v>15</v>
      </c>
    </row>
    <row r="8" spans="1:2" ht="40.5" customHeight="1" x14ac:dyDescent="0.2">
      <c r="A8" s="7" t="s">
        <v>16</v>
      </c>
      <c r="B8" s="8" t="s">
        <v>17</v>
      </c>
    </row>
    <row r="9" spans="1:2" ht="40.5" customHeight="1" x14ac:dyDescent="0.2">
      <c r="A9" s="7" t="s">
        <v>18</v>
      </c>
      <c r="B9" s="8" t="s">
        <v>19</v>
      </c>
    </row>
    <row r="10" spans="1:2" ht="40.5" customHeight="1" x14ac:dyDescent="0.2">
      <c r="A10" s="9" t="s">
        <v>20</v>
      </c>
      <c r="B10" s="8" t="s">
        <v>21</v>
      </c>
    </row>
    <row r="11" spans="1:2" ht="40.5" customHeight="1" x14ac:dyDescent="0.2">
      <c r="A11" s="7" t="s">
        <v>22</v>
      </c>
      <c r="B11" s="8" t="s">
        <v>23</v>
      </c>
    </row>
    <row r="12" spans="1:2" ht="40.5" customHeight="1" x14ac:dyDescent="0.2">
      <c r="A12" s="7" t="s">
        <v>24</v>
      </c>
      <c r="B12" s="8" t="s">
        <v>25</v>
      </c>
    </row>
    <row r="13" spans="1:2" ht="40.5" customHeight="1" x14ac:dyDescent="0.2">
      <c r="A13" s="7" t="s">
        <v>26</v>
      </c>
      <c r="B13" s="8" t="s">
        <v>27</v>
      </c>
    </row>
    <row r="14" spans="1:2" ht="40.5" customHeight="1" x14ac:dyDescent="0.2">
      <c r="A14" s="7" t="s">
        <v>28</v>
      </c>
      <c r="B14" s="8" t="s">
        <v>29</v>
      </c>
    </row>
    <row r="15" spans="1:2" ht="40.5" customHeight="1" x14ac:dyDescent="0.2">
      <c r="B15" s="10"/>
    </row>
    <row r="16" spans="1:2" ht="40.5" customHeight="1" x14ac:dyDescent="0.2">
      <c r="A16" s="11"/>
    </row>
    <row r="17" spans="1:2" ht="40.5" customHeight="1" x14ac:dyDescent="0.2">
      <c r="A17" s="12"/>
      <c r="B17" s="13"/>
    </row>
    <row r="18" spans="1:2" ht="40.5" customHeight="1" x14ac:dyDescent="0.2">
      <c r="A18" s="6"/>
      <c r="B18" s="13"/>
    </row>
    <row r="19" spans="1:2" ht="40.5" customHeight="1" x14ac:dyDescent="0.2">
      <c r="A19" s="6"/>
      <c r="B19" s="13"/>
    </row>
    <row r="20" spans="1:2" ht="40.5" customHeight="1" x14ac:dyDescent="0.2">
      <c r="B20" s="13"/>
    </row>
    <row r="21" spans="1:2" ht="40.5" customHeight="1" x14ac:dyDescent="0.2">
      <c r="A21" s="11"/>
      <c r="B21" s="13"/>
    </row>
    <row r="22" spans="1:2" ht="40.5" customHeight="1" x14ac:dyDescent="0.2">
      <c r="A22" s="6"/>
      <c r="B22" s="13"/>
    </row>
    <row r="23" spans="1:2" ht="40.5" customHeight="1" x14ac:dyDescent="0.2">
      <c r="A23" s="11"/>
    </row>
    <row r="24" spans="1:2" ht="40.5" customHeight="1" x14ac:dyDescent="0.2"/>
    <row r="25" spans="1:2" ht="40.5" customHeight="1" x14ac:dyDescent="0.2">
      <c r="A25" s="11"/>
    </row>
    <row r="26" spans="1:2" ht="40.5" customHeight="1" x14ac:dyDescent="0.2"/>
    <row r="27" spans="1:2" ht="40.5" customHeight="1" x14ac:dyDescent="0.2"/>
    <row r="28" spans="1:2" ht="40.5" customHeight="1" x14ac:dyDescent="0.2"/>
    <row r="29" spans="1:2" ht="40.5" customHeight="1" x14ac:dyDescent="0.2"/>
    <row r="30" spans="1:2" ht="40.5" customHeight="1" x14ac:dyDescent="0.2"/>
    <row r="31" spans="1:2" ht="40.5" customHeight="1" x14ac:dyDescent="0.2"/>
    <row r="32" spans="1:2" ht="40.5" customHeight="1" x14ac:dyDescent="0.2"/>
    <row r="33" ht="40.5" customHeight="1" x14ac:dyDescent="0.2"/>
    <row r="34" ht="40.5" customHeight="1" x14ac:dyDescent="0.2"/>
    <row r="35" ht="40.5" customHeight="1" x14ac:dyDescent="0.2"/>
    <row r="36" ht="40.5" customHeight="1" x14ac:dyDescent="0.2"/>
    <row r="37" ht="40.5" customHeight="1" x14ac:dyDescent="0.2"/>
    <row r="38" ht="40.5" customHeight="1" x14ac:dyDescent="0.2"/>
    <row r="39" ht="40.5" customHeight="1" x14ac:dyDescent="0.2"/>
    <row r="40" ht="40.5" customHeight="1" x14ac:dyDescent="0.2"/>
    <row r="41" ht="40.5" customHeight="1" x14ac:dyDescent="0.2"/>
    <row r="42" ht="40.5" customHeight="1" x14ac:dyDescent="0.2"/>
    <row r="43" ht="40.5" customHeight="1" x14ac:dyDescent="0.2"/>
    <row r="44" ht="40.5" customHeight="1" x14ac:dyDescent="0.2"/>
    <row r="45" ht="40.5" customHeight="1" x14ac:dyDescent="0.2"/>
    <row r="46" ht="40.5" customHeight="1" x14ac:dyDescent="0.2"/>
    <row r="47" ht="40.5" customHeight="1" x14ac:dyDescent="0.2"/>
    <row r="48" ht="40.5" customHeight="1" x14ac:dyDescent="0.2"/>
    <row r="49" ht="40.5" customHeight="1" x14ac:dyDescent="0.2"/>
    <row r="50" ht="40.5" customHeight="1" x14ac:dyDescent="0.2"/>
    <row r="51" ht="40.5" customHeight="1" x14ac:dyDescent="0.2"/>
    <row r="52" ht="40.5" customHeight="1" x14ac:dyDescent="0.2"/>
    <row r="53" ht="40.5" customHeight="1" x14ac:dyDescent="0.2"/>
    <row r="54" ht="40.5" customHeight="1" x14ac:dyDescent="0.2"/>
    <row r="55" ht="40.5" customHeight="1" x14ac:dyDescent="0.2"/>
    <row r="56" ht="40.5" customHeight="1" x14ac:dyDescent="0.2"/>
    <row r="57" ht="40.5" customHeight="1" x14ac:dyDescent="0.2"/>
    <row r="58" ht="40.5" customHeight="1" x14ac:dyDescent="0.2"/>
    <row r="59" ht="40.5" customHeight="1" x14ac:dyDescent="0.2"/>
    <row r="60" ht="40.5" customHeight="1" x14ac:dyDescent="0.2"/>
    <row r="61" ht="40.5" customHeight="1" x14ac:dyDescent="0.2"/>
    <row r="62" ht="40.5" customHeight="1" x14ac:dyDescent="0.2"/>
    <row r="63" ht="40.5" customHeight="1" x14ac:dyDescent="0.2"/>
    <row r="64" ht="40.5" customHeight="1" x14ac:dyDescent="0.2"/>
    <row r="65" ht="40.5" customHeight="1" x14ac:dyDescent="0.2"/>
    <row r="66" ht="40.5" customHeight="1" x14ac:dyDescent="0.2"/>
    <row r="67" ht="40.5" customHeight="1" x14ac:dyDescent="0.2"/>
    <row r="68" ht="40.5" customHeight="1" x14ac:dyDescent="0.2"/>
    <row r="69" ht="40.5" customHeight="1" x14ac:dyDescent="0.2"/>
    <row r="70" ht="40.5" customHeight="1" x14ac:dyDescent="0.2"/>
    <row r="71" ht="40.5" customHeight="1" x14ac:dyDescent="0.2"/>
    <row r="72" ht="40.5" customHeight="1" x14ac:dyDescent="0.2"/>
    <row r="73" ht="40.5" customHeight="1" x14ac:dyDescent="0.2"/>
    <row r="74" ht="40.5" customHeight="1" x14ac:dyDescent="0.2"/>
    <row r="75" ht="40.5" customHeight="1" x14ac:dyDescent="0.2"/>
    <row r="76" ht="40.5" customHeight="1" x14ac:dyDescent="0.2"/>
    <row r="77" ht="40.5" customHeight="1" x14ac:dyDescent="0.2"/>
    <row r="78" ht="40.5" customHeight="1" x14ac:dyDescent="0.2"/>
    <row r="79" ht="40.5" customHeight="1" x14ac:dyDescent="0.2"/>
    <row r="80" ht="40.5" customHeight="1" x14ac:dyDescent="0.2"/>
    <row r="81" ht="40.5" customHeight="1" x14ac:dyDescent="0.2"/>
    <row r="82" ht="40.5" customHeight="1" x14ac:dyDescent="0.2"/>
    <row r="83" ht="40.5" customHeight="1" x14ac:dyDescent="0.2"/>
    <row r="84" ht="40.5" customHeight="1" x14ac:dyDescent="0.2"/>
    <row r="85" ht="40.5" customHeight="1" x14ac:dyDescent="0.2"/>
    <row r="86" ht="40.5" customHeight="1" x14ac:dyDescent="0.2"/>
    <row r="87" ht="40.5" customHeight="1" x14ac:dyDescent="0.2"/>
    <row r="88" ht="40.5" customHeight="1" x14ac:dyDescent="0.2"/>
    <row r="89" ht="40.5" customHeight="1" x14ac:dyDescent="0.2"/>
    <row r="90" ht="40.5" customHeight="1" x14ac:dyDescent="0.2"/>
    <row r="91" ht="40.5" customHeight="1" x14ac:dyDescent="0.2"/>
    <row r="92" ht="40.5" customHeight="1" x14ac:dyDescent="0.2"/>
    <row r="93" ht="40.5" customHeight="1" x14ac:dyDescent="0.2"/>
    <row r="94" ht="40.5" customHeight="1" x14ac:dyDescent="0.2"/>
    <row r="95" ht="40.5" customHeight="1" x14ac:dyDescent="0.2"/>
    <row r="96" ht="40.5" customHeight="1" x14ac:dyDescent="0.2"/>
    <row r="97" ht="40.5" customHeight="1" x14ac:dyDescent="0.2"/>
    <row r="98" ht="40.5" customHeight="1" x14ac:dyDescent="0.2"/>
    <row r="99" ht="40.5" customHeight="1" x14ac:dyDescent="0.2"/>
    <row r="100" ht="40.5" customHeight="1" x14ac:dyDescent="0.2"/>
    <row r="101" ht="40.5" customHeight="1" x14ac:dyDescent="0.2"/>
    <row r="102" ht="40.5" customHeight="1" x14ac:dyDescent="0.2"/>
    <row r="103" ht="40.5" customHeight="1" x14ac:dyDescent="0.2"/>
    <row r="104" ht="40.5" customHeight="1" x14ac:dyDescent="0.2"/>
    <row r="105" ht="40.5" customHeight="1" x14ac:dyDescent="0.2"/>
    <row r="106" ht="40.5" customHeight="1" x14ac:dyDescent="0.2"/>
    <row r="107" ht="40.5" customHeight="1" x14ac:dyDescent="0.2"/>
    <row r="108" ht="40.5" customHeight="1" x14ac:dyDescent="0.2"/>
    <row r="109" ht="40.5" customHeight="1" x14ac:dyDescent="0.2"/>
    <row r="110" ht="40.5" customHeight="1" x14ac:dyDescent="0.2"/>
    <row r="111" ht="40.5" customHeight="1" x14ac:dyDescent="0.2"/>
    <row r="112" ht="40.5" customHeight="1" x14ac:dyDescent="0.2"/>
    <row r="113" ht="40.5" customHeight="1" x14ac:dyDescent="0.2"/>
    <row r="114" ht="40.5" customHeight="1" x14ac:dyDescent="0.2"/>
    <row r="115" ht="40.5" customHeight="1" x14ac:dyDescent="0.2"/>
    <row r="116" ht="40.5" customHeight="1" x14ac:dyDescent="0.2"/>
    <row r="117" ht="40.5" customHeight="1" x14ac:dyDescent="0.2"/>
    <row r="118" ht="40.5" customHeight="1" x14ac:dyDescent="0.2"/>
    <row r="119" ht="40.5" customHeight="1" x14ac:dyDescent="0.2"/>
    <row r="120" ht="40.5" customHeight="1" x14ac:dyDescent="0.2"/>
    <row r="121" ht="40.5" customHeight="1" x14ac:dyDescent="0.2"/>
    <row r="122" ht="40.5" customHeight="1" x14ac:dyDescent="0.2"/>
    <row r="123" ht="40.5" customHeight="1" x14ac:dyDescent="0.2"/>
    <row r="124" ht="40.5" customHeight="1" x14ac:dyDescent="0.2"/>
    <row r="125" ht="40.5" customHeight="1" x14ac:dyDescent="0.2"/>
    <row r="126" ht="40.5" customHeight="1" x14ac:dyDescent="0.2"/>
    <row r="127" ht="40.5" customHeight="1" x14ac:dyDescent="0.2"/>
    <row r="128" ht="40.5" customHeight="1" x14ac:dyDescent="0.2"/>
    <row r="129" ht="40.5" customHeight="1" x14ac:dyDescent="0.2"/>
    <row r="130" ht="40.5" customHeight="1" x14ac:dyDescent="0.2"/>
    <row r="131" ht="40.5" customHeight="1" x14ac:dyDescent="0.2"/>
    <row r="132" ht="40.5" customHeight="1" x14ac:dyDescent="0.2"/>
    <row r="133" ht="40.5" customHeight="1" x14ac:dyDescent="0.2"/>
    <row r="134" ht="40.5" customHeight="1" x14ac:dyDescent="0.2"/>
    <row r="135" ht="40.5" customHeight="1" x14ac:dyDescent="0.2"/>
    <row r="136" ht="40.5" customHeight="1" x14ac:dyDescent="0.2"/>
    <row r="137" ht="40.5" customHeight="1" x14ac:dyDescent="0.2"/>
    <row r="138" ht="40.5" customHeight="1" x14ac:dyDescent="0.2"/>
    <row r="139" ht="40.5" customHeight="1" x14ac:dyDescent="0.2"/>
    <row r="140" ht="40.5" customHeight="1" x14ac:dyDescent="0.2"/>
    <row r="141" ht="40.5" customHeight="1" x14ac:dyDescent="0.2"/>
    <row r="142" ht="40.5" customHeight="1" x14ac:dyDescent="0.2"/>
    <row r="143" ht="40.5" customHeight="1" x14ac:dyDescent="0.2"/>
    <row r="144" ht="40.5" customHeight="1" x14ac:dyDescent="0.2"/>
    <row r="145" ht="40.5" customHeight="1" x14ac:dyDescent="0.2"/>
    <row r="146" ht="40.5" customHeight="1" x14ac:dyDescent="0.2"/>
    <row r="147" ht="40.5" customHeight="1" x14ac:dyDescent="0.2"/>
    <row r="148" ht="40.5" customHeight="1" x14ac:dyDescent="0.2"/>
    <row r="149" ht="40.5" customHeight="1" x14ac:dyDescent="0.2"/>
    <row r="150" ht="40.5" customHeight="1" x14ac:dyDescent="0.2"/>
    <row r="151" ht="40.5" customHeight="1" x14ac:dyDescent="0.2"/>
    <row r="152" ht="40.5" customHeight="1" x14ac:dyDescent="0.2"/>
    <row r="153" ht="40.5" customHeight="1" x14ac:dyDescent="0.2"/>
    <row r="154" ht="40.5" customHeight="1" x14ac:dyDescent="0.2"/>
    <row r="155" ht="40.5" customHeight="1" x14ac:dyDescent="0.2"/>
    <row r="156" ht="40.5" customHeight="1" x14ac:dyDescent="0.2"/>
    <row r="157" ht="40.5" customHeight="1" x14ac:dyDescent="0.2"/>
    <row r="158" ht="40.5" customHeight="1" x14ac:dyDescent="0.2"/>
    <row r="159" ht="40.5" customHeight="1" x14ac:dyDescent="0.2"/>
    <row r="160" ht="40.5" customHeight="1" x14ac:dyDescent="0.2"/>
    <row r="161" ht="40.5" customHeight="1" x14ac:dyDescent="0.2"/>
    <row r="162" ht="40.5" customHeight="1" x14ac:dyDescent="0.2"/>
    <row r="163" ht="40.5" customHeight="1" x14ac:dyDescent="0.2"/>
    <row r="164" ht="40.5" customHeight="1" x14ac:dyDescent="0.2"/>
    <row r="165" ht="40.5" customHeight="1" x14ac:dyDescent="0.2"/>
    <row r="166" ht="40.5" customHeight="1" x14ac:dyDescent="0.2"/>
    <row r="167" ht="40.5" customHeight="1" x14ac:dyDescent="0.2"/>
    <row r="168" ht="40.5" customHeight="1" x14ac:dyDescent="0.2"/>
    <row r="169" ht="40.5" customHeight="1" x14ac:dyDescent="0.2"/>
    <row r="170" ht="40.5" customHeight="1" x14ac:dyDescent="0.2"/>
    <row r="171" ht="40.5" customHeight="1" x14ac:dyDescent="0.2"/>
    <row r="172" ht="40.5" customHeight="1" x14ac:dyDescent="0.2"/>
    <row r="173" ht="40.5" customHeight="1" x14ac:dyDescent="0.2"/>
    <row r="174" ht="40.5" customHeight="1" x14ac:dyDescent="0.2"/>
    <row r="175" ht="40.5" customHeight="1" x14ac:dyDescent="0.2"/>
    <row r="176" ht="40.5" customHeight="1" x14ac:dyDescent="0.2"/>
    <row r="177" ht="40.5" customHeight="1" x14ac:dyDescent="0.2"/>
    <row r="178" ht="40.5" customHeight="1" x14ac:dyDescent="0.2"/>
    <row r="179" ht="40.5" customHeight="1" x14ac:dyDescent="0.2"/>
    <row r="180" ht="40.5" customHeight="1" x14ac:dyDescent="0.2"/>
    <row r="181" ht="40.5" customHeight="1" x14ac:dyDescent="0.2"/>
    <row r="182" ht="40.5" customHeight="1" x14ac:dyDescent="0.2"/>
    <row r="183" ht="40.5" customHeight="1" x14ac:dyDescent="0.2"/>
    <row r="184" ht="40.5" customHeight="1" x14ac:dyDescent="0.2"/>
    <row r="185" ht="40.5" customHeight="1" x14ac:dyDescent="0.2"/>
    <row r="186" ht="40.5" customHeight="1" x14ac:dyDescent="0.2"/>
    <row r="187" ht="40.5" customHeight="1" x14ac:dyDescent="0.2"/>
    <row r="188" ht="40.5" customHeight="1" x14ac:dyDescent="0.2"/>
    <row r="189" ht="40.5" customHeight="1" x14ac:dyDescent="0.2"/>
    <row r="190" ht="40.5" customHeight="1" x14ac:dyDescent="0.2"/>
    <row r="191" ht="40.5" customHeight="1" x14ac:dyDescent="0.2"/>
    <row r="192" ht="40.5" customHeight="1" x14ac:dyDescent="0.2"/>
    <row r="193" ht="40.5" customHeight="1" x14ac:dyDescent="0.2"/>
    <row r="194" ht="40.5" customHeight="1" x14ac:dyDescent="0.2"/>
    <row r="195" ht="40.5" customHeight="1" x14ac:dyDescent="0.2"/>
    <row r="196" ht="40.5" customHeight="1" x14ac:dyDescent="0.2"/>
    <row r="197" ht="40.5" customHeight="1" x14ac:dyDescent="0.2"/>
    <row r="198" ht="40.5" customHeight="1" x14ac:dyDescent="0.2"/>
    <row r="199" ht="40.5" customHeight="1" x14ac:dyDescent="0.2"/>
    <row r="200" ht="40.5" customHeight="1" x14ac:dyDescent="0.2"/>
    <row r="201" ht="40.5" customHeight="1" x14ac:dyDescent="0.2"/>
    <row r="202" ht="40.5" customHeight="1" x14ac:dyDescent="0.2"/>
    <row r="203" ht="40.5" customHeight="1" x14ac:dyDescent="0.2"/>
    <row r="204" ht="40.5" customHeight="1" x14ac:dyDescent="0.2"/>
    <row r="205" ht="40.5" customHeight="1" x14ac:dyDescent="0.2"/>
    <row r="206" ht="40.5" customHeight="1" x14ac:dyDescent="0.2"/>
    <row r="207" ht="40.5" customHeight="1" x14ac:dyDescent="0.2"/>
    <row r="208" ht="40.5" customHeight="1" x14ac:dyDescent="0.2"/>
    <row r="209" ht="40.5" customHeight="1" x14ac:dyDescent="0.2"/>
    <row r="210" ht="40.5" customHeight="1" x14ac:dyDescent="0.2"/>
    <row r="211" ht="40.5" customHeight="1" x14ac:dyDescent="0.2"/>
    <row r="212" ht="40.5" customHeight="1" x14ac:dyDescent="0.2"/>
    <row r="213" ht="40.5" customHeight="1" x14ac:dyDescent="0.2"/>
    <row r="214" ht="40.5" customHeight="1" x14ac:dyDescent="0.2"/>
    <row r="215" ht="40.5" customHeight="1" x14ac:dyDescent="0.2"/>
    <row r="216" ht="40.5" customHeight="1" x14ac:dyDescent="0.2"/>
    <row r="217" ht="40.5" customHeight="1" x14ac:dyDescent="0.2"/>
    <row r="218" ht="40.5" customHeight="1" x14ac:dyDescent="0.2"/>
    <row r="219" ht="40.5" customHeight="1" x14ac:dyDescent="0.2"/>
    <row r="220" ht="40.5" customHeight="1" x14ac:dyDescent="0.2"/>
    <row r="221" ht="40.5" customHeight="1" x14ac:dyDescent="0.2"/>
    <row r="222" ht="40.5" customHeight="1" x14ac:dyDescent="0.2"/>
    <row r="223" ht="40.5" customHeight="1" x14ac:dyDescent="0.2"/>
    <row r="224" ht="40.5" customHeight="1" x14ac:dyDescent="0.2"/>
    <row r="225" ht="40.5" customHeight="1" x14ac:dyDescent="0.2"/>
    <row r="226" ht="40.5" customHeight="1" x14ac:dyDescent="0.2"/>
    <row r="227" ht="40.5" customHeight="1" x14ac:dyDescent="0.2"/>
    <row r="228" ht="40.5" customHeight="1" x14ac:dyDescent="0.2"/>
    <row r="229" ht="40.5" customHeight="1" x14ac:dyDescent="0.2"/>
    <row r="230" ht="40.5" customHeight="1" x14ac:dyDescent="0.2"/>
    <row r="231" ht="40.5" customHeight="1" x14ac:dyDescent="0.2"/>
    <row r="232" ht="40.5" customHeight="1" x14ac:dyDescent="0.2"/>
    <row r="233" ht="40.5" customHeight="1" x14ac:dyDescent="0.2"/>
    <row r="234" ht="40.5" customHeight="1" x14ac:dyDescent="0.2"/>
    <row r="235" ht="40.5" customHeight="1" x14ac:dyDescent="0.2"/>
    <row r="236" ht="40.5" customHeight="1" x14ac:dyDescent="0.2"/>
    <row r="237" ht="40.5" customHeight="1" x14ac:dyDescent="0.2"/>
    <row r="238" ht="40.5" customHeight="1" x14ac:dyDescent="0.2"/>
    <row r="239" ht="40.5" customHeight="1" x14ac:dyDescent="0.2"/>
    <row r="240" ht="40.5" customHeight="1" x14ac:dyDescent="0.2"/>
    <row r="241" ht="40.5" customHeight="1" x14ac:dyDescent="0.2"/>
    <row r="242" ht="40.5" customHeight="1" x14ac:dyDescent="0.2"/>
    <row r="243" ht="40.5" customHeight="1" x14ac:dyDescent="0.2"/>
    <row r="244" ht="40.5" customHeight="1" x14ac:dyDescent="0.2"/>
    <row r="245" ht="40.5" customHeight="1" x14ac:dyDescent="0.2"/>
    <row r="246" ht="40.5" customHeight="1" x14ac:dyDescent="0.2"/>
    <row r="247" ht="40.5" customHeight="1" x14ac:dyDescent="0.2"/>
    <row r="248" ht="40.5" customHeight="1" x14ac:dyDescent="0.2"/>
    <row r="249" ht="40.5" customHeight="1" x14ac:dyDescent="0.2"/>
    <row r="250" ht="40.5" customHeight="1" x14ac:dyDescent="0.2"/>
    <row r="251" ht="40.5" customHeight="1" x14ac:dyDescent="0.2"/>
    <row r="252" ht="40.5" customHeight="1" x14ac:dyDescent="0.2"/>
    <row r="253" ht="40.5" customHeight="1" x14ac:dyDescent="0.2"/>
    <row r="254" ht="40.5" customHeight="1" x14ac:dyDescent="0.2"/>
    <row r="255" ht="40.5" customHeight="1" x14ac:dyDescent="0.2"/>
    <row r="256" ht="40.5" customHeight="1" x14ac:dyDescent="0.2"/>
    <row r="257" ht="40.5" customHeight="1" x14ac:dyDescent="0.2"/>
    <row r="258" ht="40.5" customHeight="1" x14ac:dyDescent="0.2"/>
    <row r="259" ht="40.5" customHeight="1" x14ac:dyDescent="0.2"/>
    <row r="260" ht="40.5" customHeight="1" x14ac:dyDescent="0.2"/>
    <row r="261" ht="40.5" customHeight="1" x14ac:dyDescent="0.2"/>
    <row r="262" ht="40.5" customHeight="1" x14ac:dyDescent="0.2"/>
    <row r="263" ht="40.5" customHeight="1" x14ac:dyDescent="0.2"/>
    <row r="264" ht="40.5" customHeight="1" x14ac:dyDescent="0.2"/>
    <row r="265" ht="40.5" customHeight="1" x14ac:dyDescent="0.2"/>
    <row r="266" ht="40.5" customHeight="1" x14ac:dyDescent="0.2"/>
    <row r="267" ht="40.5" customHeight="1" x14ac:dyDescent="0.2"/>
    <row r="268" ht="40.5" customHeight="1" x14ac:dyDescent="0.2"/>
    <row r="269" ht="40.5" customHeight="1" x14ac:dyDescent="0.2"/>
    <row r="270" ht="40.5" customHeight="1" x14ac:dyDescent="0.2"/>
    <row r="271" ht="40.5" customHeight="1" x14ac:dyDescent="0.2"/>
    <row r="272" ht="40.5" customHeight="1" x14ac:dyDescent="0.2"/>
    <row r="273" ht="40.5" customHeight="1" x14ac:dyDescent="0.2"/>
    <row r="274" ht="40.5" customHeight="1" x14ac:dyDescent="0.2"/>
    <row r="275" ht="40.5" customHeight="1" x14ac:dyDescent="0.2"/>
    <row r="276" ht="40.5" customHeight="1" x14ac:dyDescent="0.2"/>
    <row r="277" ht="40.5" customHeight="1" x14ac:dyDescent="0.2"/>
    <row r="278" ht="40.5" customHeight="1" x14ac:dyDescent="0.2"/>
    <row r="279" ht="40.5" customHeight="1" x14ac:dyDescent="0.2"/>
    <row r="280" ht="40.5" customHeight="1" x14ac:dyDescent="0.2"/>
    <row r="281" ht="40.5" customHeight="1" x14ac:dyDescent="0.2"/>
    <row r="282" ht="40.5" customHeight="1" x14ac:dyDescent="0.2"/>
    <row r="283" ht="40.5" customHeight="1" x14ac:dyDescent="0.2"/>
    <row r="284" ht="40.5" customHeight="1" x14ac:dyDescent="0.2"/>
    <row r="285" ht="40.5" customHeight="1" x14ac:dyDescent="0.2"/>
    <row r="286" ht="40.5" customHeight="1" x14ac:dyDescent="0.2"/>
    <row r="287" ht="40.5" customHeight="1" x14ac:dyDescent="0.2"/>
    <row r="288" ht="40.5" customHeight="1" x14ac:dyDescent="0.2"/>
    <row r="289" ht="40.5" customHeight="1" x14ac:dyDescent="0.2"/>
    <row r="290" ht="40.5" customHeight="1" x14ac:dyDescent="0.2"/>
    <row r="291" ht="40.5" customHeight="1" x14ac:dyDescent="0.2"/>
    <row r="292" ht="40.5" customHeight="1" x14ac:dyDescent="0.2"/>
    <row r="293" ht="40.5" customHeight="1" x14ac:dyDescent="0.2"/>
    <row r="294" ht="40.5" customHeight="1" x14ac:dyDescent="0.2"/>
    <row r="295" ht="40.5" customHeight="1" x14ac:dyDescent="0.2"/>
    <row r="296" ht="40.5" customHeight="1" x14ac:dyDescent="0.2"/>
    <row r="297" ht="40.5" customHeight="1" x14ac:dyDescent="0.2"/>
    <row r="298" ht="40.5" customHeight="1" x14ac:dyDescent="0.2"/>
    <row r="299" ht="40.5" customHeight="1" x14ac:dyDescent="0.2"/>
    <row r="300" ht="40.5" customHeight="1" x14ac:dyDescent="0.2"/>
    <row r="301" ht="40.5" customHeight="1" x14ac:dyDescent="0.2"/>
    <row r="302" ht="40.5" customHeight="1" x14ac:dyDescent="0.2"/>
    <row r="303" ht="40.5" customHeight="1" x14ac:dyDescent="0.2"/>
    <row r="304" ht="40.5" customHeight="1" x14ac:dyDescent="0.2"/>
    <row r="305" ht="40.5" customHeight="1" x14ac:dyDescent="0.2"/>
    <row r="306" ht="40.5" customHeight="1" x14ac:dyDescent="0.2"/>
    <row r="307" ht="40.5" customHeight="1" x14ac:dyDescent="0.2"/>
    <row r="308" ht="40.5" customHeight="1" x14ac:dyDescent="0.2"/>
    <row r="309" ht="40.5" customHeight="1" x14ac:dyDescent="0.2"/>
    <row r="310" ht="40.5" customHeight="1" x14ac:dyDescent="0.2"/>
    <row r="311" ht="40.5" customHeight="1" x14ac:dyDescent="0.2"/>
    <row r="312" ht="40.5" customHeight="1" x14ac:dyDescent="0.2"/>
    <row r="313" ht="40.5" customHeight="1" x14ac:dyDescent="0.2"/>
    <row r="314" ht="40.5" customHeight="1" x14ac:dyDescent="0.2"/>
    <row r="315" ht="40.5" customHeight="1" x14ac:dyDescent="0.2"/>
    <row r="316" ht="40.5" customHeight="1" x14ac:dyDescent="0.2"/>
    <row r="317" ht="40.5" customHeight="1" x14ac:dyDescent="0.2"/>
    <row r="318" ht="40.5" customHeight="1" x14ac:dyDescent="0.2"/>
    <row r="319" ht="40.5" customHeight="1" x14ac:dyDescent="0.2"/>
    <row r="320" ht="40.5" customHeight="1" x14ac:dyDescent="0.2"/>
    <row r="321" ht="40.5" customHeight="1" x14ac:dyDescent="0.2"/>
    <row r="322" ht="40.5" customHeight="1" x14ac:dyDescent="0.2"/>
    <row r="323" ht="40.5" customHeight="1" x14ac:dyDescent="0.2"/>
    <row r="324" ht="40.5" customHeight="1" x14ac:dyDescent="0.2"/>
    <row r="325" ht="40.5" customHeight="1" x14ac:dyDescent="0.2"/>
    <row r="326" ht="40.5" customHeight="1" x14ac:dyDescent="0.2"/>
    <row r="327" ht="40.5" customHeight="1" x14ac:dyDescent="0.2"/>
    <row r="328" ht="40.5" customHeight="1" x14ac:dyDescent="0.2"/>
    <row r="329" ht="40.5" customHeight="1" x14ac:dyDescent="0.2"/>
    <row r="330" ht="40.5" customHeight="1" x14ac:dyDescent="0.2"/>
    <row r="331" ht="40.5" customHeight="1" x14ac:dyDescent="0.2"/>
    <row r="332" ht="40.5" customHeight="1" x14ac:dyDescent="0.2"/>
    <row r="333" ht="40.5" customHeight="1" x14ac:dyDescent="0.2"/>
    <row r="334" ht="40.5" customHeight="1" x14ac:dyDescent="0.2"/>
    <row r="335" ht="40.5" customHeight="1" x14ac:dyDescent="0.2"/>
    <row r="336" ht="40.5" customHeight="1" x14ac:dyDescent="0.2"/>
    <row r="337" ht="40.5" customHeight="1" x14ac:dyDescent="0.2"/>
    <row r="338" ht="40.5" customHeight="1" x14ac:dyDescent="0.2"/>
    <row r="339" ht="40.5" customHeight="1" x14ac:dyDescent="0.2"/>
    <row r="340" ht="40.5" customHeight="1" x14ac:dyDescent="0.2"/>
    <row r="341" ht="40.5" customHeight="1" x14ac:dyDescent="0.2"/>
    <row r="342" ht="40.5" customHeight="1" x14ac:dyDescent="0.2"/>
    <row r="343" ht="40.5" customHeight="1" x14ac:dyDescent="0.2"/>
    <row r="344" ht="40.5" customHeight="1" x14ac:dyDescent="0.2"/>
    <row r="345" ht="40.5" customHeight="1" x14ac:dyDescent="0.2"/>
    <row r="346" ht="40.5" customHeight="1" x14ac:dyDescent="0.2"/>
    <row r="347" ht="40.5" customHeight="1" x14ac:dyDescent="0.2"/>
    <row r="348" ht="40.5" customHeight="1" x14ac:dyDescent="0.2"/>
    <row r="349" ht="40.5" customHeight="1" x14ac:dyDescent="0.2"/>
    <row r="350" ht="40.5" customHeight="1" x14ac:dyDescent="0.2"/>
    <row r="351" ht="40.5" customHeight="1" x14ac:dyDescent="0.2"/>
    <row r="352" ht="40.5" customHeight="1" x14ac:dyDescent="0.2"/>
    <row r="353" ht="40.5" customHeight="1" x14ac:dyDescent="0.2"/>
    <row r="354" ht="40.5" customHeight="1" x14ac:dyDescent="0.2"/>
    <row r="355" ht="40.5" customHeight="1" x14ac:dyDescent="0.2"/>
    <row r="356" ht="40.5" customHeight="1" x14ac:dyDescent="0.2"/>
    <row r="357" ht="40.5" customHeight="1" x14ac:dyDescent="0.2"/>
    <row r="358" ht="40.5" customHeight="1" x14ac:dyDescent="0.2"/>
    <row r="359" ht="40.5" customHeight="1" x14ac:dyDescent="0.2"/>
    <row r="360" ht="40.5" customHeight="1" x14ac:dyDescent="0.2"/>
    <row r="361" ht="40.5" customHeight="1" x14ac:dyDescent="0.2"/>
    <row r="362" ht="40.5" customHeight="1" x14ac:dyDescent="0.2"/>
    <row r="363" ht="40.5" customHeight="1" x14ac:dyDescent="0.2"/>
    <row r="364" ht="40.5" customHeight="1" x14ac:dyDescent="0.2"/>
    <row r="365" ht="40.5" customHeight="1" x14ac:dyDescent="0.2"/>
    <row r="366" ht="40.5" customHeight="1" x14ac:dyDescent="0.2"/>
    <row r="367" ht="40.5" customHeight="1" x14ac:dyDescent="0.2"/>
    <row r="368" ht="40.5" customHeight="1" x14ac:dyDescent="0.2"/>
    <row r="369" ht="40.5" customHeight="1" x14ac:dyDescent="0.2"/>
    <row r="370" ht="40.5" customHeight="1" x14ac:dyDescent="0.2"/>
    <row r="371" ht="40.5" customHeight="1" x14ac:dyDescent="0.2"/>
    <row r="372" ht="40.5" customHeight="1" x14ac:dyDescent="0.2"/>
    <row r="373" ht="40.5" customHeight="1" x14ac:dyDescent="0.2"/>
    <row r="374" ht="40.5" customHeight="1" x14ac:dyDescent="0.2"/>
    <row r="375" ht="40.5" customHeight="1" x14ac:dyDescent="0.2"/>
    <row r="376" ht="40.5" customHeight="1" x14ac:dyDescent="0.2"/>
    <row r="377" ht="40.5" customHeight="1" x14ac:dyDescent="0.2"/>
    <row r="378" ht="40.5" customHeight="1" x14ac:dyDescent="0.2"/>
    <row r="379" ht="40.5" customHeight="1" x14ac:dyDescent="0.2"/>
    <row r="380" ht="40.5" customHeight="1" x14ac:dyDescent="0.2"/>
    <row r="381" ht="40.5" customHeight="1" x14ac:dyDescent="0.2"/>
    <row r="382" ht="40.5" customHeight="1" x14ac:dyDescent="0.2"/>
    <row r="383" ht="40.5" customHeight="1" x14ac:dyDescent="0.2"/>
    <row r="384" ht="40.5" customHeight="1" x14ac:dyDescent="0.2"/>
    <row r="385" ht="40.5" customHeight="1" x14ac:dyDescent="0.2"/>
    <row r="386" ht="40.5" customHeight="1" x14ac:dyDescent="0.2"/>
    <row r="387" ht="40.5" customHeight="1" x14ac:dyDescent="0.2"/>
    <row r="388" ht="40.5" customHeight="1" x14ac:dyDescent="0.2"/>
    <row r="389" ht="40.5" customHeight="1" x14ac:dyDescent="0.2"/>
    <row r="390" ht="40.5" customHeight="1" x14ac:dyDescent="0.2"/>
    <row r="391" ht="40.5" customHeight="1" x14ac:dyDescent="0.2"/>
    <row r="392" ht="40.5" customHeight="1" x14ac:dyDescent="0.2"/>
    <row r="393" ht="40.5" customHeight="1" x14ac:dyDescent="0.2"/>
    <row r="394" ht="40.5" customHeight="1" x14ac:dyDescent="0.2"/>
    <row r="395" ht="40.5" customHeight="1" x14ac:dyDescent="0.2"/>
    <row r="396" ht="40.5" customHeight="1" x14ac:dyDescent="0.2"/>
    <row r="397" ht="40.5" customHeight="1" x14ac:dyDescent="0.2"/>
    <row r="398" ht="40.5" customHeight="1" x14ac:dyDescent="0.2"/>
    <row r="399" ht="40.5" customHeight="1" x14ac:dyDescent="0.2"/>
    <row r="400" ht="40.5" customHeight="1" x14ac:dyDescent="0.2"/>
    <row r="401" ht="40.5" customHeight="1" x14ac:dyDescent="0.2"/>
    <row r="402" ht="40.5" customHeight="1" x14ac:dyDescent="0.2"/>
    <row r="403" ht="40.5" customHeight="1" x14ac:dyDescent="0.2"/>
    <row r="404" ht="40.5" customHeight="1" x14ac:dyDescent="0.2"/>
    <row r="405" ht="40.5" customHeight="1" x14ac:dyDescent="0.2"/>
    <row r="406" ht="40.5" customHeight="1" x14ac:dyDescent="0.2"/>
    <row r="407" ht="40.5" customHeight="1" x14ac:dyDescent="0.2"/>
    <row r="408" ht="40.5" customHeight="1" x14ac:dyDescent="0.2"/>
    <row r="409" ht="40.5" customHeight="1" x14ac:dyDescent="0.2"/>
    <row r="410" ht="40.5" customHeight="1" x14ac:dyDescent="0.2"/>
    <row r="411" ht="40.5" customHeight="1" x14ac:dyDescent="0.2"/>
    <row r="412" ht="40.5" customHeight="1" x14ac:dyDescent="0.2"/>
    <row r="413" ht="40.5" customHeight="1" x14ac:dyDescent="0.2"/>
    <row r="414" ht="40.5" customHeight="1" x14ac:dyDescent="0.2"/>
    <row r="415" ht="40.5" customHeight="1" x14ac:dyDescent="0.2"/>
    <row r="416" ht="40.5" customHeight="1" x14ac:dyDescent="0.2"/>
    <row r="417" ht="40.5" customHeight="1" x14ac:dyDescent="0.2"/>
    <row r="418" ht="40.5" customHeight="1" x14ac:dyDescent="0.2"/>
    <row r="419" ht="40.5" customHeight="1" x14ac:dyDescent="0.2"/>
    <row r="420" ht="40.5" customHeight="1" x14ac:dyDescent="0.2"/>
    <row r="421" ht="40.5" customHeight="1" x14ac:dyDescent="0.2"/>
    <row r="422" ht="40.5" customHeight="1" x14ac:dyDescent="0.2"/>
    <row r="423" ht="40.5" customHeight="1" x14ac:dyDescent="0.2"/>
    <row r="424" ht="40.5" customHeight="1" x14ac:dyDescent="0.2"/>
    <row r="425" ht="40.5" customHeight="1" x14ac:dyDescent="0.2"/>
    <row r="426" ht="40.5" customHeight="1" x14ac:dyDescent="0.2"/>
    <row r="427" ht="40.5" customHeight="1" x14ac:dyDescent="0.2"/>
    <row r="428" ht="40.5" customHeight="1" x14ac:dyDescent="0.2"/>
    <row r="429" ht="40.5" customHeight="1" x14ac:dyDescent="0.2"/>
    <row r="430" ht="40.5" customHeight="1" x14ac:dyDescent="0.2"/>
    <row r="431" ht="40.5" customHeight="1" x14ac:dyDescent="0.2"/>
    <row r="432" ht="40.5" customHeight="1" x14ac:dyDescent="0.2"/>
    <row r="433" ht="40.5" customHeight="1" x14ac:dyDescent="0.2"/>
    <row r="434" ht="40.5" customHeight="1" x14ac:dyDescent="0.2"/>
    <row r="435" ht="40.5" customHeight="1" x14ac:dyDescent="0.2"/>
    <row r="436" ht="40.5" customHeight="1" x14ac:dyDescent="0.2"/>
    <row r="437" ht="40.5" customHeight="1" x14ac:dyDescent="0.2"/>
    <row r="438" ht="40.5" customHeight="1" x14ac:dyDescent="0.2"/>
    <row r="439" ht="40.5" customHeight="1" x14ac:dyDescent="0.2"/>
    <row r="440" ht="40.5" customHeight="1" x14ac:dyDescent="0.2"/>
    <row r="441" ht="40.5" customHeight="1" x14ac:dyDescent="0.2"/>
    <row r="442" ht="40.5" customHeight="1" x14ac:dyDescent="0.2"/>
    <row r="443" ht="40.5" customHeight="1" x14ac:dyDescent="0.2"/>
    <row r="444" ht="40.5" customHeight="1" x14ac:dyDescent="0.2"/>
    <row r="445" ht="40.5" customHeight="1" x14ac:dyDescent="0.2"/>
    <row r="446" ht="40.5" customHeight="1" x14ac:dyDescent="0.2"/>
    <row r="447" ht="40.5" customHeight="1" x14ac:dyDescent="0.2"/>
    <row r="448" ht="40.5" customHeight="1" x14ac:dyDescent="0.2"/>
    <row r="449" ht="40.5" customHeight="1" x14ac:dyDescent="0.2"/>
    <row r="450" ht="40.5" customHeight="1" x14ac:dyDescent="0.2"/>
    <row r="451" ht="40.5" customHeight="1" x14ac:dyDescent="0.2"/>
    <row r="452" ht="40.5" customHeight="1" x14ac:dyDescent="0.2"/>
    <row r="453" ht="40.5" customHeight="1" x14ac:dyDescent="0.2"/>
    <row r="454" ht="40.5" customHeight="1" x14ac:dyDescent="0.2"/>
    <row r="455" ht="40.5" customHeight="1" x14ac:dyDescent="0.2"/>
    <row r="456" ht="40.5" customHeight="1" x14ac:dyDescent="0.2"/>
    <row r="457" ht="40.5" customHeight="1" x14ac:dyDescent="0.2"/>
    <row r="458" ht="40.5" customHeight="1" x14ac:dyDescent="0.2"/>
    <row r="459" ht="40.5" customHeight="1" x14ac:dyDescent="0.2"/>
    <row r="460" ht="40.5" customHeight="1" x14ac:dyDescent="0.2"/>
    <row r="461" ht="40.5" customHeight="1" x14ac:dyDescent="0.2"/>
    <row r="462" ht="40.5" customHeight="1" x14ac:dyDescent="0.2"/>
    <row r="463" ht="40.5" customHeight="1" x14ac:dyDescent="0.2"/>
    <row r="464" ht="40.5" customHeight="1" x14ac:dyDescent="0.2"/>
    <row r="465" ht="40.5" customHeight="1" x14ac:dyDescent="0.2"/>
    <row r="466" ht="40.5" customHeight="1" x14ac:dyDescent="0.2"/>
    <row r="467" ht="40.5" customHeight="1" x14ac:dyDescent="0.2"/>
    <row r="468" ht="40.5" customHeight="1" x14ac:dyDescent="0.2"/>
    <row r="469" ht="40.5" customHeight="1" x14ac:dyDescent="0.2"/>
    <row r="470" ht="40.5" customHeight="1" x14ac:dyDescent="0.2"/>
    <row r="471" ht="40.5" customHeight="1" x14ac:dyDescent="0.2"/>
    <row r="472" ht="40.5" customHeight="1" x14ac:dyDescent="0.2"/>
    <row r="473" ht="40.5" customHeight="1" x14ac:dyDescent="0.2"/>
    <row r="474" ht="40.5" customHeight="1" x14ac:dyDescent="0.2"/>
    <row r="475" ht="40.5" customHeight="1" x14ac:dyDescent="0.2"/>
    <row r="476" ht="40.5" customHeight="1" x14ac:dyDescent="0.2"/>
    <row r="477" ht="40.5" customHeight="1" x14ac:dyDescent="0.2"/>
    <row r="478" ht="40.5" customHeight="1" x14ac:dyDescent="0.2"/>
    <row r="479" ht="40.5" customHeight="1" x14ac:dyDescent="0.2"/>
    <row r="480" ht="40.5" customHeight="1" x14ac:dyDescent="0.2"/>
    <row r="481" ht="40.5" customHeight="1" x14ac:dyDescent="0.2"/>
    <row r="482" ht="40.5" customHeight="1" x14ac:dyDescent="0.2"/>
    <row r="483" ht="40.5" customHeight="1" x14ac:dyDescent="0.2"/>
    <row r="484" ht="40.5" customHeight="1" x14ac:dyDescent="0.2"/>
    <row r="485" ht="40.5" customHeight="1" x14ac:dyDescent="0.2"/>
    <row r="486" ht="40.5" customHeight="1" x14ac:dyDescent="0.2"/>
    <row r="487" ht="40.5" customHeight="1" x14ac:dyDescent="0.2"/>
    <row r="488" ht="40.5" customHeight="1" x14ac:dyDescent="0.2"/>
    <row r="489" ht="40.5" customHeight="1" x14ac:dyDescent="0.2"/>
    <row r="490" ht="40.5" customHeight="1" x14ac:dyDescent="0.2"/>
    <row r="491" ht="40.5" customHeight="1" x14ac:dyDescent="0.2"/>
    <row r="492" ht="40.5" customHeight="1" x14ac:dyDescent="0.2"/>
    <row r="493" ht="40.5" customHeight="1" x14ac:dyDescent="0.2"/>
    <row r="494" ht="40.5" customHeight="1" x14ac:dyDescent="0.2"/>
    <row r="495" ht="40.5" customHeight="1" x14ac:dyDescent="0.2"/>
    <row r="496" ht="40.5" customHeight="1" x14ac:dyDescent="0.2"/>
    <row r="497" ht="40.5" customHeight="1" x14ac:dyDescent="0.2"/>
    <row r="498" ht="40.5" customHeight="1" x14ac:dyDescent="0.2"/>
    <row r="499" ht="40.5" customHeight="1" x14ac:dyDescent="0.2"/>
    <row r="500" ht="40.5" customHeight="1" x14ac:dyDescent="0.2"/>
    <row r="501" ht="40.5" customHeight="1" x14ac:dyDescent="0.2"/>
    <row r="502" ht="40.5" customHeight="1" x14ac:dyDescent="0.2"/>
    <row r="503" ht="40.5" customHeight="1" x14ac:dyDescent="0.2"/>
    <row r="504" ht="40.5" customHeight="1" x14ac:dyDescent="0.2"/>
    <row r="505" ht="40.5" customHeight="1" x14ac:dyDescent="0.2"/>
    <row r="506" ht="40.5" customHeight="1" x14ac:dyDescent="0.2"/>
    <row r="507" ht="40.5" customHeight="1" x14ac:dyDescent="0.2"/>
    <row r="508" ht="40.5" customHeight="1" x14ac:dyDescent="0.2"/>
    <row r="509" ht="40.5" customHeight="1" x14ac:dyDescent="0.2"/>
    <row r="510" ht="40.5" customHeight="1" x14ac:dyDescent="0.2"/>
    <row r="511" ht="40.5" customHeight="1" x14ac:dyDescent="0.2"/>
    <row r="512" ht="40.5" customHeight="1" x14ac:dyDescent="0.2"/>
    <row r="513" ht="40.5" customHeight="1" x14ac:dyDescent="0.2"/>
    <row r="514" ht="40.5" customHeight="1" x14ac:dyDescent="0.2"/>
    <row r="515" ht="40.5" customHeight="1" x14ac:dyDescent="0.2"/>
    <row r="516" ht="40.5" customHeight="1" x14ac:dyDescent="0.2"/>
    <row r="517" ht="40.5" customHeight="1" x14ac:dyDescent="0.2"/>
    <row r="518" ht="40.5" customHeight="1" x14ac:dyDescent="0.2"/>
    <row r="519" ht="40.5" customHeight="1" x14ac:dyDescent="0.2"/>
    <row r="520" ht="40.5" customHeight="1" x14ac:dyDescent="0.2"/>
    <row r="521" ht="40.5" customHeight="1" x14ac:dyDescent="0.2"/>
    <row r="522" ht="40.5" customHeight="1" x14ac:dyDescent="0.2"/>
    <row r="523" ht="40.5" customHeight="1" x14ac:dyDescent="0.2"/>
    <row r="524" ht="40.5" customHeight="1" x14ac:dyDescent="0.2"/>
    <row r="525" ht="40.5" customHeight="1" x14ac:dyDescent="0.2"/>
    <row r="526" ht="40.5" customHeight="1" x14ac:dyDescent="0.2"/>
    <row r="527" ht="40.5" customHeight="1" x14ac:dyDescent="0.2"/>
    <row r="528" ht="40.5" customHeight="1" x14ac:dyDescent="0.2"/>
    <row r="529" ht="40.5" customHeight="1" x14ac:dyDescent="0.2"/>
    <row r="530" ht="40.5" customHeight="1" x14ac:dyDescent="0.2"/>
    <row r="531" ht="40.5" customHeight="1" x14ac:dyDescent="0.2"/>
    <row r="532" ht="40.5" customHeight="1" x14ac:dyDescent="0.2"/>
    <row r="533" ht="40.5" customHeight="1" x14ac:dyDescent="0.2"/>
    <row r="534" ht="40.5" customHeight="1" x14ac:dyDescent="0.2"/>
    <row r="535" ht="40.5" customHeight="1" x14ac:dyDescent="0.2"/>
    <row r="536" ht="40.5" customHeight="1" x14ac:dyDescent="0.2"/>
    <row r="537" ht="40.5" customHeight="1" x14ac:dyDescent="0.2"/>
    <row r="538" ht="40.5" customHeight="1" x14ac:dyDescent="0.2"/>
    <row r="539" ht="40.5" customHeight="1" x14ac:dyDescent="0.2"/>
    <row r="540" ht="40.5" customHeight="1" x14ac:dyDescent="0.2"/>
    <row r="541" ht="40.5" customHeight="1" x14ac:dyDescent="0.2"/>
    <row r="542" ht="40.5" customHeight="1" x14ac:dyDescent="0.2"/>
    <row r="543" ht="40.5" customHeight="1" x14ac:dyDescent="0.2"/>
    <row r="544" ht="40.5" customHeight="1" x14ac:dyDescent="0.2"/>
    <row r="545" ht="40.5" customHeight="1" x14ac:dyDescent="0.2"/>
    <row r="546" ht="40.5" customHeight="1" x14ac:dyDescent="0.2"/>
    <row r="547" ht="40.5" customHeight="1" x14ac:dyDescent="0.2"/>
    <row r="548" ht="40.5" customHeight="1" x14ac:dyDescent="0.2"/>
    <row r="549" ht="40.5" customHeight="1" x14ac:dyDescent="0.2"/>
    <row r="550" ht="40.5" customHeight="1" x14ac:dyDescent="0.2"/>
    <row r="551" ht="40.5" customHeight="1" x14ac:dyDescent="0.2"/>
    <row r="552" ht="40.5" customHeight="1" x14ac:dyDescent="0.2"/>
    <row r="553" ht="40.5" customHeight="1" x14ac:dyDescent="0.2"/>
    <row r="554" ht="40.5" customHeight="1" x14ac:dyDescent="0.2"/>
    <row r="555" ht="40.5" customHeight="1" x14ac:dyDescent="0.2"/>
    <row r="556" ht="40.5" customHeight="1" x14ac:dyDescent="0.2"/>
    <row r="557" ht="40.5" customHeight="1" x14ac:dyDescent="0.2"/>
    <row r="558" ht="40.5" customHeight="1" x14ac:dyDescent="0.2"/>
    <row r="559" ht="40.5" customHeight="1" x14ac:dyDescent="0.2"/>
    <row r="560" ht="40.5" customHeight="1" x14ac:dyDescent="0.2"/>
    <row r="561" ht="40.5" customHeight="1" x14ac:dyDescent="0.2"/>
    <row r="562" ht="40.5" customHeight="1" x14ac:dyDescent="0.2"/>
    <row r="563" ht="40.5" customHeight="1" x14ac:dyDescent="0.2"/>
    <row r="564" ht="40.5" customHeight="1" x14ac:dyDescent="0.2"/>
    <row r="565" ht="40.5" customHeight="1" x14ac:dyDescent="0.2"/>
    <row r="566" ht="40.5" customHeight="1" x14ac:dyDescent="0.2"/>
    <row r="567" ht="40.5" customHeight="1" x14ac:dyDescent="0.2"/>
    <row r="568" ht="40.5" customHeight="1" x14ac:dyDescent="0.2"/>
    <row r="569" ht="40.5" customHeight="1" x14ac:dyDescent="0.2"/>
    <row r="570" ht="40.5" customHeight="1" x14ac:dyDescent="0.2"/>
    <row r="571" ht="40.5" customHeight="1" x14ac:dyDescent="0.2"/>
    <row r="572" ht="40.5" customHeight="1" x14ac:dyDescent="0.2"/>
    <row r="573" ht="40.5" customHeight="1" x14ac:dyDescent="0.2"/>
    <row r="574" ht="40.5" customHeight="1" x14ac:dyDescent="0.2"/>
    <row r="575" ht="40.5" customHeight="1" x14ac:dyDescent="0.2"/>
    <row r="576" ht="40.5" customHeight="1" x14ac:dyDescent="0.2"/>
    <row r="577" ht="40.5" customHeight="1" x14ac:dyDescent="0.2"/>
    <row r="578" ht="40.5" customHeight="1" x14ac:dyDescent="0.2"/>
    <row r="579" ht="40.5" customHeight="1" x14ac:dyDescent="0.2"/>
    <row r="580" ht="40.5" customHeight="1" x14ac:dyDescent="0.2"/>
    <row r="581" ht="40.5" customHeight="1" x14ac:dyDescent="0.2"/>
    <row r="582" ht="40.5" customHeight="1" x14ac:dyDescent="0.2"/>
    <row r="583" ht="40.5" customHeight="1" x14ac:dyDescent="0.2"/>
    <row r="584" ht="40.5" customHeight="1" x14ac:dyDescent="0.2"/>
    <row r="585" ht="40.5" customHeight="1" x14ac:dyDescent="0.2"/>
    <row r="586" ht="40.5" customHeight="1" x14ac:dyDescent="0.2"/>
    <row r="587" ht="40.5" customHeight="1" x14ac:dyDescent="0.2"/>
    <row r="588" ht="40.5" customHeight="1" x14ac:dyDescent="0.2"/>
    <row r="589" ht="40.5" customHeight="1" x14ac:dyDescent="0.2"/>
    <row r="590" ht="40.5" customHeight="1" x14ac:dyDescent="0.2"/>
    <row r="591" ht="40.5" customHeight="1" x14ac:dyDescent="0.2"/>
    <row r="592" ht="40.5" customHeight="1" x14ac:dyDescent="0.2"/>
    <row r="593" ht="40.5" customHeight="1" x14ac:dyDescent="0.2"/>
    <row r="594" ht="40.5" customHeight="1" x14ac:dyDescent="0.2"/>
    <row r="595" ht="40.5" customHeight="1" x14ac:dyDescent="0.2"/>
    <row r="596" ht="40.5" customHeight="1" x14ac:dyDescent="0.2"/>
    <row r="597" ht="40.5" customHeight="1" x14ac:dyDescent="0.2"/>
    <row r="598" ht="40.5" customHeight="1" x14ac:dyDescent="0.2"/>
    <row r="599" ht="40.5" customHeight="1" x14ac:dyDescent="0.2"/>
    <row r="600" ht="40.5" customHeight="1" x14ac:dyDescent="0.2"/>
    <row r="601" ht="40.5" customHeight="1" x14ac:dyDescent="0.2"/>
    <row r="602" ht="40.5" customHeight="1" x14ac:dyDescent="0.2"/>
    <row r="603" ht="40.5" customHeight="1" x14ac:dyDescent="0.2"/>
    <row r="604" ht="40.5" customHeight="1" x14ac:dyDescent="0.2"/>
    <row r="605" ht="40.5" customHeight="1" x14ac:dyDescent="0.2"/>
    <row r="606" ht="40.5" customHeight="1" x14ac:dyDescent="0.2"/>
    <row r="607" ht="40.5" customHeight="1" x14ac:dyDescent="0.2"/>
    <row r="608" ht="40.5" customHeight="1" x14ac:dyDescent="0.2"/>
    <row r="609" ht="40.5" customHeight="1" x14ac:dyDescent="0.2"/>
    <row r="610" ht="40.5" customHeight="1" x14ac:dyDescent="0.2"/>
    <row r="611" ht="40.5" customHeight="1" x14ac:dyDescent="0.2"/>
    <row r="612" ht="40.5" customHeight="1" x14ac:dyDescent="0.2"/>
    <row r="613" ht="40.5" customHeight="1" x14ac:dyDescent="0.2"/>
    <row r="614" ht="40.5" customHeight="1" x14ac:dyDescent="0.2"/>
    <row r="615" ht="40.5" customHeight="1" x14ac:dyDescent="0.2"/>
    <row r="616" ht="40.5" customHeight="1" x14ac:dyDescent="0.2"/>
    <row r="617" ht="40.5" customHeight="1" x14ac:dyDescent="0.2"/>
    <row r="618" ht="40.5" customHeight="1" x14ac:dyDescent="0.2"/>
    <row r="619" ht="40.5" customHeight="1" x14ac:dyDescent="0.2"/>
    <row r="620" ht="40.5" customHeight="1" x14ac:dyDescent="0.2"/>
    <row r="621" ht="40.5" customHeight="1" x14ac:dyDescent="0.2"/>
    <row r="622" ht="40.5" customHeight="1" x14ac:dyDescent="0.2"/>
    <row r="623" ht="40.5" customHeight="1" x14ac:dyDescent="0.2"/>
    <row r="624" ht="40.5" customHeight="1" x14ac:dyDescent="0.2"/>
    <row r="625" ht="40.5" customHeight="1" x14ac:dyDescent="0.2"/>
    <row r="626" ht="40.5" customHeight="1" x14ac:dyDescent="0.2"/>
    <row r="627" ht="40.5" customHeight="1" x14ac:dyDescent="0.2"/>
    <row r="628" ht="40.5" customHeight="1" x14ac:dyDescent="0.2"/>
    <row r="629" ht="40.5" customHeight="1" x14ac:dyDescent="0.2"/>
    <row r="630" ht="40.5" customHeight="1" x14ac:dyDescent="0.2"/>
    <row r="631" ht="40.5" customHeight="1" x14ac:dyDescent="0.2"/>
    <row r="632" ht="40.5" customHeight="1" x14ac:dyDescent="0.2"/>
    <row r="633" ht="40.5" customHeight="1" x14ac:dyDescent="0.2"/>
    <row r="634" ht="40.5" customHeight="1" x14ac:dyDescent="0.2"/>
    <row r="635" ht="40.5" customHeight="1" x14ac:dyDescent="0.2"/>
    <row r="636" ht="40.5" customHeight="1" x14ac:dyDescent="0.2"/>
    <row r="637" ht="40.5" customHeight="1" x14ac:dyDescent="0.2"/>
    <row r="638" ht="40.5" customHeight="1" x14ac:dyDescent="0.2"/>
    <row r="639" ht="40.5" customHeight="1" x14ac:dyDescent="0.2"/>
    <row r="640" ht="40.5" customHeight="1" x14ac:dyDescent="0.2"/>
    <row r="641" ht="40.5" customHeight="1" x14ac:dyDescent="0.2"/>
    <row r="642" ht="40.5" customHeight="1" x14ac:dyDescent="0.2"/>
    <row r="643" ht="40.5" customHeight="1" x14ac:dyDescent="0.2"/>
    <row r="644" ht="40.5" customHeight="1" x14ac:dyDescent="0.2"/>
    <row r="645" ht="40.5" customHeight="1" x14ac:dyDescent="0.2"/>
    <row r="646" ht="40.5" customHeight="1" x14ac:dyDescent="0.2"/>
    <row r="647" ht="40.5" customHeight="1" x14ac:dyDescent="0.2"/>
    <row r="648" ht="40.5" customHeight="1" x14ac:dyDescent="0.2"/>
    <row r="649" ht="40.5" customHeight="1" x14ac:dyDescent="0.2"/>
    <row r="650" ht="40.5" customHeight="1" x14ac:dyDescent="0.2"/>
    <row r="651" ht="40.5" customHeight="1" x14ac:dyDescent="0.2"/>
    <row r="652" ht="40.5" customHeight="1" x14ac:dyDescent="0.2"/>
    <row r="653" ht="40.5" customHeight="1" x14ac:dyDescent="0.2"/>
    <row r="654" ht="40.5" customHeight="1" x14ac:dyDescent="0.2"/>
    <row r="655" ht="40.5" customHeight="1" x14ac:dyDescent="0.2"/>
    <row r="656" ht="40.5" customHeight="1" x14ac:dyDescent="0.2"/>
    <row r="657" ht="40.5" customHeight="1" x14ac:dyDescent="0.2"/>
    <row r="658" ht="40.5" customHeight="1" x14ac:dyDescent="0.2"/>
    <row r="659" ht="40.5" customHeight="1" x14ac:dyDescent="0.2"/>
    <row r="660" ht="40.5" customHeight="1" x14ac:dyDescent="0.2"/>
    <row r="661" ht="40.5" customHeight="1" x14ac:dyDescent="0.2"/>
    <row r="662" ht="40.5" customHeight="1" x14ac:dyDescent="0.2"/>
    <row r="663" ht="40.5" customHeight="1" x14ac:dyDescent="0.2"/>
    <row r="664" ht="40.5" customHeight="1" x14ac:dyDescent="0.2"/>
    <row r="665" ht="40.5" customHeight="1" x14ac:dyDescent="0.2"/>
    <row r="666" ht="40.5" customHeight="1" x14ac:dyDescent="0.2"/>
    <row r="667" ht="40.5" customHeight="1" x14ac:dyDescent="0.2"/>
    <row r="668" ht="40.5" customHeight="1" x14ac:dyDescent="0.2"/>
    <row r="669" ht="40.5" customHeight="1" x14ac:dyDescent="0.2"/>
    <row r="670" ht="40.5" customHeight="1" x14ac:dyDescent="0.2"/>
    <row r="671" ht="40.5" customHeight="1" x14ac:dyDescent="0.2"/>
    <row r="672" ht="40.5" customHeight="1" x14ac:dyDescent="0.2"/>
    <row r="673" ht="40.5" customHeight="1" x14ac:dyDescent="0.2"/>
    <row r="674" ht="40.5" customHeight="1" x14ac:dyDescent="0.2"/>
    <row r="675" ht="40.5" customHeight="1" x14ac:dyDescent="0.2"/>
    <row r="676" ht="40.5" customHeight="1" x14ac:dyDescent="0.2"/>
    <row r="677" ht="40.5" customHeight="1" x14ac:dyDescent="0.2"/>
    <row r="678" ht="40.5" customHeight="1" x14ac:dyDescent="0.2"/>
    <row r="679" ht="40.5" customHeight="1" x14ac:dyDescent="0.2"/>
    <row r="680" ht="40.5" customHeight="1" x14ac:dyDescent="0.2"/>
    <row r="681" ht="40.5" customHeight="1" x14ac:dyDescent="0.2"/>
    <row r="682" ht="40.5" customHeight="1" x14ac:dyDescent="0.2"/>
    <row r="683" ht="40.5" customHeight="1" x14ac:dyDescent="0.2"/>
    <row r="684" ht="40.5" customHeight="1" x14ac:dyDescent="0.2"/>
    <row r="685" ht="40.5" customHeight="1" x14ac:dyDescent="0.2"/>
    <row r="686" ht="40.5" customHeight="1" x14ac:dyDescent="0.2"/>
    <row r="687" ht="40.5" customHeight="1" x14ac:dyDescent="0.2"/>
    <row r="688" ht="40.5" customHeight="1" x14ac:dyDescent="0.2"/>
    <row r="689" ht="40.5" customHeight="1" x14ac:dyDescent="0.2"/>
    <row r="690" ht="40.5" customHeight="1" x14ac:dyDescent="0.2"/>
    <row r="691" ht="40.5" customHeight="1" x14ac:dyDescent="0.2"/>
    <row r="692" ht="40.5" customHeight="1" x14ac:dyDescent="0.2"/>
    <row r="693" ht="40.5" customHeight="1" x14ac:dyDescent="0.2"/>
    <row r="694" ht="40.5" customHeight="1" x14ac:dyDescent="0.2"/>
    <row r="695" ht="40.5" customHeight="1" x14ac:dyDescent="0.2"/>
    <row r="696" ht="40.5" customHeight="1" x14ac:dyDescent="0.2"/>
    <row r="697" ht="40.5" customHeight="1" x14ac:dyDescent="0.2"/>
    <row r="698" ht="40.5" customHeight="1" x14ac:dyDescent="0.2"/>
    <row r="699" ht="40.5" customHeight="1" x14ac:dyDescent="0.2"/>
    <row r="700" ht="40.5" customHeight="1" x14ac:dyDescent="0.2"/>
    <row r="701" ht="40.5" customHeight="1" x14ac:dyDescent="0.2"/>
    <row r="702" ht="40.5" customHeight="1" x14ac:dyDescent="0.2"/>
    <row r="703" ht="40.5" customHeight="1" x14ac:dyDescent="0.2"/>
    <row r="704" ht="40.5" customHeight="1" x14ac:dyDescent="0.2"/>
    <row r="705" ht="40.5" customHeight="1" x14ac:dyDescent="0.2"/>
    <row r="706" ht="40.5" customHeight="1" x14ac:dyDescent="0.2"/>
    <row r="707" ht="40.5" customHeight="1" x14ac:dyDescent="0.2"/>
    <row r="708" ht="40.5" customHeight="1" x14ac:dyDescent="0.2"/>
    <row r="709" ht="40.5" customHeight="1" x14ac:dyDescent="0.2"/>
    <row r="710" ht="40.5" customHeight="1" x14ac:dyDescent="0.2"/>
    <row r="711" ht="40.5" customHeight="1" x14ac:dyDescent="0.2"/>
    <row r="712" ht="40.5" customHeight="1" x14ac:dyDescent="0.2"/>
    <row r="713" ht="40.5" customHeight="1" x14ac:dyDescent="0.2"/>
    <row r="714" ht="40.5" customHeight="1" x14ac:dyDescent="0.2"/>
    <row r="715" ht="40.5" customHeight="1" x14ac:dyDescent="0.2"/>
    <row r="716" ht="40.5" customHeight="1" x14ac:dyDescent="0.2"/>
    <row r="717" ht="40.5" customHeight="1" x14ac:dyDescent="0.2"/>
    <row r="718" ht="40.5" customHeight="1" x14ac:dyDescent="0.2"/>
    <row r="719" ht="40.5" customHeight="1" x14ac:dyDescent="0.2"/>
    <row r="720" ht="40.5" customHeight="1" x14ac:dyDescent="0.2"/>
    <row r="721" ht="40.5" customHeight="1" x14ac:dyDescent="0.2"/>
    <row r="722" ht="40.5" customHeight="1" x14ac:dyDescent="0.2"/>
    <row r="723" ht="40.5" customHeight="1" x14ac:dyDescent="0.2"/>
    <row r="724" ht="40.5" customHeight="1" x14ac:dyDescent="0.2"/>
    <row r="725" ht="40.5" customHeight="1" x14ac:dyDescent="0.2"/>
    <row r="726" ht="40.5" customHeight="1" x14ac:dyDescent="0.2"/>
    <row r="727" ht="40.5" customHeight="1" x14ac:dyDescent="0.2"/>
    <row r="728" ht="40.5" customHeight="1" x14ac:dyDescent="0.2"/>
    <row r="729" ht="40.5" customHeight="1" x14ac:dyDescent="0.2"/>
    <row r="730" ht="40.5" customHeight="1" x14ac:dyDescent="0.2"/>
    <row r="731" ht="40.5" customHeight="1" x14ac:dyDescent="0.2"/>
    <row r="732" ht="40.5" customHeight="1" x14ac:dyDescent="0.2"/>
    <row r="733" ht="40.5" customHeight="1" x14ac:dyDescent="0.2"/>
    <row r="734" ht="40.5" customHeight="1" x14ac:dyDescent="0.2"/>
    <row r="735" ht="40.5" customHeight="1" x14ac:dyDescent="0.2"/>
    <row r="736" ht="40.5" customHeight="1" x14ac:dyDescent="0.2"/>
    <row r="737" ht="40.5" customHeight="1" x14ac:dyDescent="0.2"/>
    <row r="738" ht="40.5" customHeight="1" x14ac:dyDescent="0.2"/>
    <row r="739" ht="40.5" customHeight="1" x14ac:dyDescent="0.2"/>
    <row r="740" ht="40.5" customHeight="1" x14ac:dyDescent="0.2"/>
    <row r="741" ht="40.5" customHeight="1" x14ac:dyDescent="0.2"/>
    <row r="742" ht="40.5" customHeight="1" x14ac:dyDescent="0.2"/>
    <row r="743" ht="40.5" customHeight="1" x14ac:dyDescent="0.2"/>
    <row r="744" ht="40.5" customHeight="1" x14ac:dyDescent="0.2"/>
    <row r="745" ht="40.5" customHeight="1" x14ac:dyDescent="0.2"/>
    <row r="746" ht="40.5" customHeight="1" x14ac:dyDescent="0.2"/>
    <row r="747" ht="40.5" customHeight="1" x14ac:dyDescent="0.2"/>
    <row r="748" ht="40.5" customHeight="1" x14ac:dyDescent="0.2"/>
    <row r="749" ht="40.5" customHeight="1" x14ac:dyDescent="0.2"/>
    <row r="750" ht="40.5" customHeight="1" x14ac:dyDescent="0.2"/>
    <row r="751" ht="40.5" customHeight="1" x14ac:dyDescent="0.2"/>
    <row r="752" ht="40.5" customHeight="1" x14ac:dyDescent="0.2"/>
    <row r="753" ht="40.5" customHeight="1" x14ac:dyDescent="0.2"/>
    <row r="754" ht="40.5" customHeight="1" x14ac:dyDescent="0.2"/>
    <row r="755" ht="40.5" customHeight="1" x14ac:dyDescent="0.2"/>
    <row r="756" ht="40.5" customHeight="1" x14ac:dyDescent="0.2"/>
    <row r="757" ht="40.5" customHeight="1" x14ac:dyDescent="0.2"/>
    <row r="758" ht="40.5" customHeight="1" x14ac:dyDescent="0.2"/>
    <row r="759" ht="40.5" customHeight="1" x14ac:dyDescent="0.2"/>
    <row r="760" ht="40.5" customHeight="1" x14ac:dyDescent="0.2"/>
    <row r="761" ht="40.5" customHeight="1" x14ac:dyDescent="0.2"/>
    <row r="762" ht="40.5" customHeight="1" x14ac:dyDescent="0.2"/>
    <row r="763" ht="40.5" customHeight="1" x14ac:dyDescent="0.2"/>
    <row r="764" ht="40.5" customHeight="1" x14ac:dyDescent="0.2"/>
    <row r="765" ht="40.5" customHeight="1" x14ac:dyDescent="0.2"/>
    <row r="766" ht="40.5" customHeight="1" x14ac:dyDescent="0.2"/>
    <row r="767" ht="40.5" customHeight="1" x14ac:dyDescent="0.2"/>
    <row r="768" ht="40.5" customHeight="1" x14ac:dyDescent="0.2"/>
    <row r="769" ht="40.5" customHeight="1" x14ac:dyDescent="0.2"/>
    <row r="770" ht="40.5" customHeight="1" x14ac:dyDescent="0.2"/>
    <row r="771" ht="40.5" customHeight="1" x14ac:dyDescent="0.2"/>
    <row r="772" ht="40.5" customHeight="1" x14ac:dyDescent="0.2"/>
    <row r="773" ht="40.5" customHeight="1" x14ac:dyDescent="0.2"/>
    <row r="774" ht="40.5" customHeight="1" x14ac:dyDescent="0.2"/>
    <row r="775" ht="40.5" customHeight="1" x14ac:dyDescent="0.2"/>
    <row r="776" ht="40.5" customHeight="1" x14ac:dyDescent="0.2"/>
    <row r="777" ht="40.5" customHeight="1" x14ac:dyDescent="0.2"/>
    <row r="778" ht="40.5" customHeight="1" x14ac:dyDescent="0.2"/>
    <row r="779" ht="40.5" customHeight="1" x14ac:dyDescent="0.2"/>
    <row r="780" ht="40.5" customHeight="1" x14ac:dyDescent="0.2"/>
    <row r="781" ht="40.5" customHeight="1" x14ac:dyDescent="0.2"/>
    <row r="782" ht="40.5" customHeight="1" x14ac:dyDescent="0.2"/>
    <row r="783" ht="40.5" customHeight="1" x14ac:dyDescent="0.2"/>
    <row r="784" ht="40.5" customHeight="1" x14ac:dyDescent="0.2"/>
    <row r="785" ht="40.5" customHeight="1" x14ac:dyDescent="0.2"/>
    <row r="786" ht="40.5" customHeight="1" x14ac:dyDescent="0.2"/>
    <row r="787" ht="40.5" customHeight="1" x14ac:dyDescent="0.2"/>
    <row r="788" ht="40.5" customHeight="1" x14ac:dyDescent="0.2"/>
    <row r="789" ht="40.5" customHeight="1" x14ac:dyDescent="0.2"/>
    <row r="790" ht="40.5" customHeight="1" x14ac:dyDescent="0.2"/>
    <row r="791" ht="40.5" customHeight="1" x14ac:dyDescent="0.2"/>
    <row r="792" ht="40.5" customHeight="1" x14ac:dyDescent="0.2"/>
    <row r="793" ht="40.5" customHeight="1" x14ac:dyDescent="0.2"/>
    <row r="794" ht="40.5" customHeight="1" x14ac:dyDescent="0.2"/>
    <row r="795" ht="40.5" customHeight="1" x14ac:dyDescent="0.2"/>
    <row r="796" ht="40.5" customHeight="1" x14ac:dyDescent="0.2"/>
    <row r="797" ht="40.5" customHeight="1" x14ac:dyDescent="0.2"/>
    <row r="798" ht="40.5" customHeight="1" x14ac:dyDescent="0.2"/>
    <row r="799" ht="40.5" customHeight="1" x14ac:dyDescent="0.2"/>
    <row r="800" ht="40.5" customHeight="1" x14ac:dyDescent="0.2"/>
    <row r="801" ht="40.5" customHeight="1" x14ac:dyDescent="0.2"/>
    <row r="802" ht="40.5" customHeight="1" x14ac:dyDescent="0.2"/>
    <row r="803" ht="40.5" customHeight="1" x14ac:dyDescent="0.2"/>
    <row r="804" ht="40.5" customHeight="1" x14ac:dyDescent="0.2"/>
    <row r="805" ht="40.5" customHeight="1" x14ac:dyDescent="0.2"/>
    <row r="806" ht="40.5" customHeight="1" x14ac:dyDescent="0.2"/>
    <row r="807" ht="40.5" customHeight="1" x14ac:dyDescent="0.2"/>
    <row r="808" ht="40.5" customHeight="1" x14ac:dyDescent="0.2"/>
    <row r="809" ht="40.5" customHeight="1" x14ac:dyDescent="0.2"/>
    <row r="810" ht="40.5" customHeight="1" x14ac:dyDescent="0.2"/>
    <row r="811" ht="40.5" customHeight="1" x14ac:dyDescent="0.2"/>
    <row r="812" ht="40.5" customHeight="1" x14ac:dyDescent="0.2"/>
    <row r="813" ht="40.5" customHeight="1" x14ac:dyDescent="0.2"/>
    <row r="814" ht="40.5" customHeight="1" x14ac:dyDescent="0.2"/>
    <row r="815" ht="40.5" customHeight="1" x14ac:dyDescent="0.2"/>
    <row r="816" ht="40.5" customHeight="1" x14ac:dyDescent="0.2"/>
    <row r="817" ht="40.5" customHeight="1" x14ac:dyDescent="0.2"/>
    <row r="818" ht="40.5" customHeight="1" x14ac:dyDescent="0.2"/>
    <row r="819" ht="40.5" customHeight="1" x14ac:dyDescent="0.2"/>
    <row r="820" ht="40.5" customHeight="1" x14ac:dyDescent="0.2"/>
    <row r="821" ht="40.5" customHeight="1" x14ac:dyDescent="0.2"/>
    <row r="822" ht="40.5" customHeight="1" x14ac:dyDescent="0.2"/>
    <row r="823" ht="40.5" customHeight="1" x14ac:dyDescent="0.2"/>
    <row r="824" ht="40.5" customHeight="1" x14ac:dyDescent="0.2"/>
    <row r="825" ht="40.5" customHeight="1" x14ac:dyDescent="0.2"/>
    <row r="826" ht="40.5" customHeight="1" x14ac:dyDescent="0.2"/>
    <row r="827" ht="40.5" customHeight="1" x14ac:dyDescent="0.2"/>
    <row r="828" ht="40.5" customHeight="1" x14ac:dyDescent="0.2"/>
    <row r="829" ht="40.5" customHeight="1" x14ac:dyDescent="0.2"/>
    <row r="830" ht="40.5" customHeight="1" x14ac:dyDescent="0.2"/>
    <row r="831" ht="40.5" customHeight="1" x14ac:dyDescent="0.2"/>
    <row r="832" ht="40.5" customHeight="1" x14ac:dyDescent="0.2"/>
    <row r="833" ht="40.5" customHeight="1" x14ac:dyDescent="0.2"/>
    <row r="834" ht="40.5" customHeight="1" x14ac:dyDescent="0.2"/>
    <row r="835" ht="40.5" customHeight="1" x14ac:dyDescent="0.2"/>
    <row r="836" ht="40.5" customHeight="1" x14ac:dyDescent="0.2"/>
    <row r="837" ht="40.5" customHeight="1" x14ac:dyDescent="0.2"/>
    <row r="838" ht="40.5" customHeight="1" x14ac:dyDescent="0.2"/>
    <row r="839" ht="40.5" customHeight="1" x14ac:dyDescent="0.2"/>
    <row r="840" ht="40.5" customHeight="1" x14ac:dyDescent="0.2"/>
    <row r="841" ht="40.5" customHeight="1" x14ac:dyDescent="0.2"/>
    <row r="842" ht="40.5" customHeight="1" x14ac:dyDescent="0.2"/>
    <row r="843" ht="40.5" customHeight="1" x14ac:dyDescent="0.2"/>
    <row r="844" ht="40.5" customHeight="1" x14ac:dyDescent="0.2"/>
    <row r="845" ht="40.5" customHeight="1" x14ac:dyDescent="0.2"/>
    <row r="846" ht="40.5" customHeight="1" x14ac:dyDescent="0.2"/>
    <row r="847" ht="40.5" customHeight="1" x14ac:dyDescent="0.2"/>
    <row r="848" ht="40.5" customHeight="1" x14ac:dyDescent="0.2"/>
    <row r="849" ht="40.5" customHeight="1" x14ac:dyDescent="0.2"/>
    <row r="850" ht="40.5" customHeight="1" x14ac:dyDescent="0.2"/>
    <row r="851" ht="40.5" customHeight="1" x14ac:dyDescent="0.2"/>
    <row r="852" ht="40.5" customHeight="1" x14ac:dyDescent="0.2"/>
    <row r="853" ht="40.5" customHeight="1" x14ac:dyDescent="0.2"/>
    <row r="854" ht="40.5" customHeight="1" x14ac:dyDescent="0.2"/>
    <row r="855" ht="40.5" customHeight="1" x14ac:dyDescent="0.2"/>
    <row r="856" ht="40.5" customHeight="1" x14ac:dyDescent="0.2"/>
    <row r="857" ht="40.5" customHeight="1" x14ac:dyDescent="0.2"/>
    <row r="858" ht="40.5" customHeight="1" x14ac:dyDescent="0.2"/>
    <row r="859" ht="40.5" customHeight="1" x14ac:dyDescent="0.2"/>
    <row r="860" ht="40.5" customHeight="1" x14ac:dyDescent="0.2"/>
    <row r="861" ht="40.5" customHeight="1" x14ac:dyDescent="0.2"/>
    <row r="862" ht="40.5" customHeight="1" x14ac:dyDescent="0.2"/>
    <row r="863" ht="40.5" customHeight="1" x14ac:dyDescent="0.2"/>
    <row r="864" ht="40.5" customHeight="1" x14ac:dyDescent="0.2"/>
    <row r="865" ht="40.5" customHeight="1" x14ac:dyDescent="0.2"/>
    <row r="866" ht="40.5" customHeight="1" x14ac:dyDescent="0.2"/>
    <row r="867" ht="40.5" customHeight="1" x14ac:dyDescent="0.2"/>
    <row r="868" ht="40.5" customHeight="1" x14ac:dyDescent="0.2"/>
    <row r="869" ht="40.5" customHeight="1" x14ac:dyDescent="0.2"/>
    <row r="870" ht="40.5" customHeight="1" x14ac:dyDescent="0.2"/>
    <row r="871" ht="40.5" customHeight="1" x14ac:dyDescent="0.2"/>
    <row r="872" ht="40.5" customHeight="1" x14ac:dyDescent="0.2"/>
    <row r="873" ht="40.5" customHeight="1" x14ac:dyDescent="0.2"/>
    <row r="874" ht="40.5" customHeight="1" x14ac:dyDescent="0.2"/>
    <row r="875" ht="40.5" customHeight="1" x14ac:dyDescent="0.2"/>
    <row r="876" ht="40.5" customHeight="1" x14ac:dyDescent="0.2"/>
    <row r="877" ht="40.5" customHeight="1" x14ac:dyDescent="0.2"/>
    <row r="878" ht="40.5" customHeight="1" x14ac:dyDescent="0.2"/>
    <row r="879" ht="40.5" customHeight="1" x14ac:dyDescent="0.2"/>
    <row r="880" ht="40.5" customHeight="1" x14ac:dyDescent="0.2"/>
    <row r="881" ht="40.5" customHeight="1" x14ac:dyDescent="0.2"/>
    <row r="882" ht="40.5" customHeight="1" x14ac:dyDescent="0.2"/>
    <row r="883" ht="40.5" customHeight="1" x14ac:dyDescent="0.2"/>
    <row r="884" ht="40.5" customHeight="1" x14ac:dyDescent="0.2"/>
    <row r="885" ht="40.5" customHeight="1" x14ac:dyDescent="0.2"/>
    <row r="886" ht="40.5" customHeight="1" x14ac:dyDescent="0.2"/>
    <row r="887" ht="40.5" customHeight="1" x14ac:dyDescent="0.2"/>
    <row r="888" ht="40.5" customHeight="1" x14ac:dyDescent="0.2"/>
    <row r="889" ht="40.5" customHeight="1" x14ac:dyDescent="0.2"/>
    <row r="890" ht="40.5" customHeight="1" x14ac:dyDescent="0.2"/>
    <row r="891" ht="40.5" customHeight="1" x14ac:dyDescent="0.2"/>
    <row r="892" ht="40.5" customHeight="1" x14ac:dyDescent="0.2"/>
    <row r="893" ht="40.5" customHeight="1" x14ac:dyDescent="0.2"/>
    <row r="894" ht="40.5" customHeight="1" x14ac:dyDescent="0.2"/>
    <row r="895" ht="40.5" customHeight="1" x14ac:dyDescent="0.2"/>
    <row r="896" ht="40.5" customHeight="1" x14ac:dyDescent="0.2"/>
    <row r="897" ht="40.5" customHeight="1" x14ac:dyDescent="0.2"/>
    <row r="898" ht="40.5" customHeight="1" x14ac:dyDescent="0.2"/>
    <row r="899" ht="40.5" customHeight="1" x14ac:dyDescent="0.2"/>
    <row r="900" ht="40.5" customHeight="1" x14ac:dyDescent="0.2"/>
    <row r="901" ht="40.5" customHeight="1" x14ac:dyDescent="0.2"/>
    <row r="902" ht="40.5" customHeight="1" x14ac:dyDescent="0.2"/>
    <row r="903" ht="40.5" customHeight="1" x14ac:dyDescent="0.2"/>
    <row r="904" ht="40.5" customHeight="1" x14ac:dyDescent="0.2"/>
    <row r="905" ht="40.5" customHeight="1" x14ac:dyDescent="0.2"/>
    <row r="906" ht="40.5" customHeight="1" x14ac:dyDescent="0.2"/>
    <row r="907" ht="40.5" customHeight="1" x14ac:dyDescent="0.2"/>
    <row r="908" ht="40.5" customHeight="1" x14ac:dyDescent="0.2"/>
    <row r="909" ht="40.5" customHeight="1" x14ac:dyDescent="0.2"/>
    <row r="910" ht="40.5" customHeight="1" x14ac:dyDescent="0.2"/>
    <row r="911" ht="40.5" customHeight="1" x14ac:dyDescent="0.2"/>
    <row r="912" ht="40.5" customHeight="1" x14ac:dyDescent="0.2"/>
    <row r="913" ht="40.5" customHeight="1" x14ac:dyDescent="0.2"/>
    <row r="914" ht="40.5" customHeight="1" x14ac:dyDescent="0.2"/>
    <row r="915" ht="40.5" customHeight="1" x14ac:dyDescent="0.2"/>
    <row r="916" ht="40.5" customHeight="1" x14ac:dyDescent="0.2"/>
    <row r="917" ht="40.5" customHeight="1" x14ac:dyDescent="0.2"/>
    <row r="918" ht="40.5" customHeight="1" x14ac:dyDescent="0.2"/>
    <row r="919" ht="40.5" customHeight="1" x14ac:dyDescent="0.2"/>
    <row r="920" ht="40.5" customHeight="1" x14ac:dyDescent="0.2"/>
    <row r="921" ht="40.5" customHeight="1" x14ac:dyDescent="0.2"/>
    <row r="922" ht="40.5" customHeight="1" x14ac:dyDescent="0.2"/>
    <row r="923" ht="40.5" customHeight="1" x14ac:dyDescent="0.2"/>
    <row r="924" ht="40.5" customHeight="1" x14ac:dyDescent="0.2"/>
    <row r="925" ht="40.5" customHeight="1" x14ac:dyDescent="0.2"/>
    <row r="926" ht="40.5" customHeight="1" x14ac:dyDescent="0.2"/>
    <row r="927" ht="40.5" customHeight="1" x14ac:dyDescent="0.2"/>
    <row r="928" ht="40.5" customHeight="1" x14ac:dyDescent="0.2"/>
    <row r="929" ht="40.5" customHeight="1" x14ac:dyDescent="0.2"/>
    <row r="930" ht="40.5" customHeight="1" x14ac:dyDescent="0.2"/>
    <row r="931" ht="40.5" customHeight="1" x14ac:dyDescent="0.2"/>
    <row r="932" ht="40.5" customHeight="1" x14ac:dyDescent="0.2"/>
    <row r="933" ht="40.5" customHeight="1" x14ac:dyDescent="0.2"/>
    <row r="934" ht="40.5" customHeight="1" x14ac:dyDescent="0.2"/>
    <row r="935" ht="40.5" customHeight="1" x14ac:dyDescent="0.2"/>
    <row r="936" ht="40.5" customHeight="1" x14ac:dyDescent="0.2"/>
    <row r="937" ht="40.5" customHeight="1" x14ac:dyDescent="0.2"/>
    <row r="938" ht="40.5" customHeight="1" x14ac:dyDescent="0.2"/>
    <row r="939" ht="40.5" customHeight="1" x14ac:dyDescent="0.2"/>
    <row r="940" ht="40.5" customHeight="1" x14ac:dyDescent="0.2"/>
    <row r="941" ht="40.5" customHeight="1" x14ac:dyDescent="0.2"/>
    <row r="942" ht="40.5" customHeight="1" x14ac:dyDescent="0.2"/>
    <row r="943" ht="40.5" customHeight="1" x14ac:dyDescent="0.2"/>
    <row r="944" ht="40.5" customHeight="1" x14ac:dyDescent="0.2"/>
    <row r="945" ht="40.5" customHeight="1" x14ac:dyDescent="0.2"/>
    <row r="946" ht="40.5" customHeight="1" x14ac:dyDescent="0.2"/>
    <row r="947" ht="40.5" customHeight="1" x14ac:dyDescent="0.2"/>
    <row r="948" ht="40.5" customHeight="1" x14ac:dyDescent="0.2"/>
    <row r="949" ht="40.5" customHeight="1" x14ac:dyDescent="0.2"/>
    <row r="950" ht="40.5" customHeight="1" x14ac:dyDescent="0.2"/>
    <row r="951" ht="40.5" customHeight="1" x14ac:dyDescent="0.2"/>
    <row r="952" ht="40.5" customHeight="1" x14ac:dyDescent="0.2"/>
    <row r="953" ht="40.5" customHeight="1" x14ac:dyDescent="0.2"/>
    <row r="954" ht="40.5" customHeight="1" x14ac:dyDescent="0.2"/>
    <row r="955" ht="40.5" customHeight="1" x14ac:dyDescent="0.2"/>
    <row r="956" ht="40.5" customHeight="1" x14ac:dyDescent="0.2"/>
    <row r="957" ht="40.5" customHeight="1" x14ac:dyDescent="0.2"/>
    <row r="958" ht="40.5" customHeight="1" x14ac:dyDescent="0.2"/>
    <row r="959" ht="40.5" customHeight="1" x14ac:dyDescent="0.2"/>
    <row r="960" ht="40.5" customHeight="1" x14ac:dyDescent="0.2"/>
    <row r="961" ht="40.5" customHeight="1" x14ac:dyDescent="0.2"/>
    <row r="962" ht="40.5" customHeight="1" x14ac:dyDescent="0.2"/>
    <row r="963" ht="40.5" customHeight="1" x14ac:dyDescent="0.2"/>
    <row r="964" ht="40.5" customHeight="1" x14ac:dyDescent="0.2"/>
    <row r="965" ht="40.5" customHeight="1" x14ac:dyDescent="0.2"/>
    <row r="966" ht="40.5" customHeight="1" x14ac:dyDescent="0.2"/>
    <row r="967" ht="40.5" customHeight="1" x14ac:dyDescent="0.2"/>
    <row r="968" ht="40.5" customHeight="1" x14ac:dyDescent="0.2"/>
    <row r="969" ht="40.5" customHeight="1" x14ac:dyDescent="0.2"/>
    <row r="970" ht="40.5" customHeight="1" x14ac:dyDescent="0.2"/>
    <row r="971" ht="40.5" customHeight="1" x14ac:dyDescent="0.2"/>
    <row r="972" ht="40.5" customHeight="1" x14ac:dyDescent="0.2"/>
    <row r="973" ht="40.5" customHeight="1" x14ac:dyDescent="0.2"/>
    <row r="974" ht="40.5" customHeight="1" x14ac:dyDescent="0.2"/>
    <row r="975" ht="40.5" customHeight="1" x14ac:dyDescent="0.2"/>
    <row r="976" ht="40.5" customHeight="1" x14ac:dyDescent="0.2"/>
    <row r="977" ht="40.5" customHeight="1" x14ac:dyDescent="0.2"/>
    <row r="978" ht="40.5" customHeight="1" x14ac:dyDescent="0.2"/>
    <row r="979" ht="40.5" customHeight="1" x14ac:dyDescent="0.2"/>
    <row r="980" ht="40.5" customHeight="1" x14ac:dyDescent="0.2"/>
    <row r="981" ht="40.5" customHeight="1" x14ac:dyDescent="0.2"/>
    <row r="982" ht="40.5" customHeight="1" x14ac:dyDescent="0.2"/>
    <row r="983" ht="40.5" customHeight="1" x14ac:dyDescent="0.2"/>
    <row r="984" ht="40.5" customHeight="1" x14ac:dyDescent="0.2"/>
    <row r="985" ht="40.5" customHeight="1" x14ac:dyDescent="0.2"/>
    <row r="986" ht="40.5" customHeight="1" x14ac:dyDescent="0.2"/>
    <row r="987" ht="40.5" customHeight="1" x14ac:dyDescent="0.2"/>
    <row r="988" ht="40.5" customHeight="1" x14ac:dyDescent="0.2"/>
    <row r="989" ht="40.5" customHeight="1" x14ac:dyDescent="0.2"/>
    <row r="990" ht="40.5" customHeight="1" x14ac:dyDescent="0.2"/>
    <row r="991" ht="40.5" customHeight="1" x14ac:dyDescent="0.2"/>
    <row r="992" ht="40.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81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46.6640625" customWidth="1"/>
    <col min="3" max="3" width="33.83203125" customWidth="1"/>
    <col min="4" max="4" width="87" customWidth="1"/>
    <col min="5" max="26" width="8.83203125" customWidth="1"/>
  </cols>
  <sheetData>
    <row r="1" spans="1:3" ht="21" customHeight="1" x14ac:dyDescent="0.2">
      <c r="A1" s="14" t="s">
        <v>30</v>
      </c>
      <c r="B1" s="15" t="s">
        <v>31</v>
      </c>
      <c r="C1" s="16" t="s">
        <v>32</v>
      </c>
    </row>
    <row r="2" spans="1:3" ht="90.75" customHeight="1" x14ac:dyDescent="0.2">
      <c r="A2" s="17" t="s">
        <v>33</v>
      </c>
      <c r="B2" s="18" t="s">
        <v>34</v>
      </c>
      <c r="C2" s="19">
        <v>250000</v>
      </c>
    </row>
    <row r="3" spans="1:3" ht="108.75" customHeight="1" x14ac:dyDescent="0.2">
      <c r="A3" s="20" t="s">
        <v>35</v>
      </c>
      <c r="B3" s="21" t="s">
        <v>36</v>
      </c>
      <c r="C3" s="19">
        <v>300000</v>
      </c>
    </row>
    <row r="4" spans="1:3" ht="21" customHeight="1" x14ac:dyDescent="0.2">
      <c r="A4" s="4"/>
      <c r="B4" s="22" t="s">
        <v>37</v>
      </c>
      <c r="C4" s="23">
        <f>SUM(C2:C3)</f>
        <v>550000</v>
      </c>
    </row>
    <row r="5" spans="1:3" ht="21" customHeight="1" x14ac:dyDescent="0.2">
      <c r="C5" s="24"/>
    </row>
    <row r="6" spans="1:3" ht="21" customHeight="1" x14ac:dyDescent="0.2">
      <c r="C6" s="24"/>
    </row>
    <row r="7" spans="1:3" ht="21" customHeight="1" x14ac:dyDescent="0.2">
      <c r="C7" s="24"/>
    </row>
    <row r="8" spans="1:3" ht="21" customHeight="1" x14ac:dyDescent="0.2">
      <c r="C8" s="24"/>
    </row>
    <row r="9" spans="1:3" ht="21" customHeight="1" x14ac:dyDescent="0.2">
      <c r="C9" s="24"/>
    </row>
    <row r="10" spans="1:3" ht="21" customHeight="1" x14ac:dyDescent="0.2">
      <c r="C10" s="24"/>
    </row>
    <row r="11" spans="1:3" ht="21" customHeight="1" x14ac:dyDescent="0.2">
      <c r="C11" s="24"/>
    </row>
    <row r="12" spans="1:3" ht="21" customHeight="1" x14ac:dyDescent="0.2">
      <c r="C12" s="24"/>
    </row>
    <row r="13" spans="1:3" ht="21" customHeight="1" x14ac:dyDescent="0.2">
      <c r="C13" s="24"/>
    </row>
    <row r="14" spans="1:3" ht="21" customHeight="1" x14ac:dyDescent="0.2">
      <c r="C14" s="24"/>
    </row>
    <row r="15" spans="1:3" ht="21" customHeight="1" x14ac:dyDescent="0.2">
      <c r="C15" s="24"/>
    </row>
    <row r="16" spans="1:3" ht="21" customHeight="1" x14ac:dyDescent="0.2">
      <c r="C16" s="24"/>
    </row>
    <row r="17" spans="3:3" ht="21" customHeight="1" x14ac:dyDescent="0.2">
      <c r="C17" s="24"/>
    </row>
    <row r="18" spans="3:3" ht="21" customHeight="1" x14ac:dyDescent="0.2">
      <c r="C18" s="24"/>
    </row>
    <row r="19" spans="3:3" ht="21" customHeight="1" x14ac:dyDescent="0.2">
      <c r="C19" s="24"/>
    </row>
    <row r="20" spans="3:3" ht="21" customHeight="1" x14ac:dyDescent="0.2">
      <c r="C20" s="24"/>
    </row>
    <row r="21" spans="3:3" ht="21" customHeight="1" x14ac:dyDescent="0.2">
      <c r="C21" s="24"/>
    </row>
    <row r="22" spans="3:3" ht="21" customHeight="1" x14ac:dyDescent="0.2">
      <c r="C22" s="24"/>
    </row>
    <row r="23" spans="3:3" ht="21" customHeight="1" x14ac:dyDescent="0.2">
      <c r="C23" s="24"/>
    </row>
    <row r="24" spans="3:3" ht="21" customHeight="1" x14ac:dyDescent="0.2">
      <c r="C24" s="24"/>
    </row>
    <row r="25" spans="3:3" ht="21" customHeight="1" x14ac:dyDescent="0.2">
      <c r="C25" s="24"/>
    </row>
    <row r="26" spans="3:3" ht="21" customHeight="1" x14ac:dyDescent="0.2">
      <c r="C26" s="24"/>
    </row>
    <row r="27" spans="3:3" ht="21" customHeight="1" x14ac:dyDescent="0.2">
      <c r="C27" s="24"/>
    </row>
    <row r="28" spans="3:3" ht="21" customHeight="1" x14ac:dyDescent="0.2">
      <c r="C28" s="24"/>
    </row>
    <row r="29" spans="3:3" ht="21" customHeight="1" x14ac:dyDescent="0.2">
      <c r="C29" s="24"/>
    </row>
    <row r="30" spans="3:3" ht="21" customHeight="1" x14ac:dyDescent="0.2">
      <c r="C30" s="24"/>
    </row>
    <row r="31" spans="3:3" ht="21" customHeight="1" x14ac:dyDescent="0.2">
      <c r="C31" s="24"/>
    </row>
    <row r="32" spans="3:3" ht="21" customHeight="1" x14ac:dyDescent="0.2">
      <c r="C32" s="24"/>
    </row>
    <row r="33" spans="3:3" ht="21" customHeight="1" x14ac:dyDescent="0.2">
      <c r="C33" s="24"/>
    </row>
    <row r="34" spans="3:3" ht="21" customHeight="1" x14ac:dyDescent="0.2">
      <c r="C34" s="24"/>
    </row>
    <row r="35" spans="3:3" ht="21" customHeight="1" x14ac:dyDescent="0.2">
      <c r="C35" s="24"/>
    </row>
    <row r="36" spans="3:3" ht="21" customHeight="1" x14ac:dyDescent="0.2">
      <c r="C36" s="24"/>
    </row>
    <row r="37" spans="3:3" ht="21" customHeight="1" x14ac:dyDescent="0.2">
      <c r="C37" s="24"/>
    </row>
    <row r="38" spans="3:3" ht="21" customHeight="1" x14ac:dyDescent="0.2">
      <c r="C38" s="24"/>
    </row>
    <row r="39" spans="3:3" ht="21" customHeight="1" x14ac:dyDescent="0.2">
      <c r="C39" s="24"/>
    </row>
    <row r="40" spans="3:3" ht="21" customHeight="1" x14ac:dyDescent="0.2">
      <c r="C40" s="24"/>
    </row>
    <row r="41" spans="3:3" ht="21" customHeight="1" x14ac:dyDescent="0.2">
      <c r="C41" s="24"/>
    </row>
    <row r="42" spans="3:3" ht="21" customHeight="1" x14ac:dyDescent="0.2">
      <c r="C42" s="24"/>
    </row>
    <row r="43" spans="3:3" ht="21" customHeight="1" x14ac:dyDescent="0.2">
      <c r="C43" s="24"/>
    </row>
    <row r="44" spans="3:3" ht="21" customHeight="1" x14ac:dyDescent="0.2">
      <c r="C44" s="24"/>
    </row>
    <row r="45" spans="3:3" ht="21" customHeight="1" x14ac:dyDescent="0.2">
      <c r="C45" s="24"/>
    </row>
    <row r="46" spans="3:3" ht="21" customHeight="1" x14ac:dyDescent="0.2">
      <c r="C46" s="24"/>
    </row>
    <row r="47" spans="3:3" ht="21" customHeight="1" x14ac:dyDescent="0.2">
      <c r="C47" s="24"/>
    </row>
    <row r="48" spans="3:3" ht="21" customHeight="1" x14ac:dyDescent="0.2">
      <c r="C48" s="24"/>
    </row>
    <row r="49" spans="3:3" ht="21" customHeight="1" x14ac:dyDescent="0.2">
      <c r="C49" s="24"/>
    </row>
    <row r="50" spans="3:3" ht="21" customHeight="1" x14ac:dyDescent="0.2">
      <c r="C50" s="24"/>
    </row>
    <row r="51" spans="3:3" ht="21" customHeight="1" x14ac:dyDescent="0.2">
      <c r="C51" s="24"/>
    </row>
    <row r="52" spans="3:3" ht="21" customHeight="1" x14ac:dyDescent="0.2">
      <c r="C52" s="24"/>
    </row>
    <row r="53" spans="3:3" ht="21" customHeight="1" x14ac:dyDescent="0.2">
      <c r="C53" s="24"/>
    </row>
    <row r="54" spans="3:3" ht="21" customHeight="1" x14ac:dyDescent="0.2">
      <c r="C54" s="24"/>
    </row>
    <row r="55" spans="3:3" ht="21" customHeight="1" x14ac:dyDescent="0.2">
      <c r="C55" s="24"/>
    </row>
    <row r="56" spans="3:3" ht="21" customHeight="1" x14ac:dyDescent="0.2">
      <c r="C56" s="24"/>
    </row>
    <row r="57" spans="3:3" ht="21" customHeight="1" x14ac:dyDescent="0.2">
      <c r="C57" s="24"/>
    </row>
    <row r="58" spans="3:3" ht="21" customHeight="1" x14ac:dyDescent="0.2">
      <c r="C58" s="24"/>
    </row>
    <row r="59" spans="3:3" ht="21" customHeight="1" x14ac:dyDescent="0.2">
      <c r="C59" s="24"/>
    </row>
    <row r="60" spans="3:3" ht="21" customHeight="1" x14ac:dyDescent="0.2">
      <c r="C60" s="24"/>
    </row>
    <row r="61" spans="3:3" ht="21" customHeight="1" x14ac:dyDescent="0.2">
      <c r="C61" s="24"/>
    </row>
    <row r="62" spans="3:3" ht="21" customHeight="1" x14ac:dyDescent="0.2">
      <c r="C62" s="24"/>
    </row>
    <row r="63" spans="3:3" ht="21" customHeight="1" x14ac:dyDescent="0.2">
      <c r="C63" s="24"/>
    </row>
    <row r="64" spans="3:3" ht="21" customHeight="1" x14ac:dyDescent="0.2">
      <c r="C64" s="24"/>
    </row>
    <row r="65" spans="3:3" ht="21" customHeight="1" x14ac:dyDescent="0.2">
      <c r="C65" s="24"/>
    </row>
    <row r="66" spans="3:3" ht="21" customHeight="1" x14ac:dyDescent="0.2">
      <c r="C66" s="24"/>
    </row>
    <row r="67" spans="3:3" ht="21" customHeight="1" x14ac:dyDescent="0.2">
      <c r="C67" s="24"/>
    </row>
    <row r="68" spans="3:3" ht="21" customHeight="1" x14ac:dyDescent="0.2">
      <c r="C68" s="24"/>
    </row>
    <row r="69" spans="3:3" ht="21" customHeight="1" x14ac:dyDescent="0.2">
      <c r="C69" s="24"/>
    </row>
    <row r="70" spans="3:3" ht="21" customHeight="1" x14ac:dyDescent="0.2">
      <c r="C70" s="24"/>
    </row>
    <row r="71" spans="3:3" ht="21" customHeight="1" x14ac:dyDescent="0.2">
      <c r="C71" s="24"/>
    </row>
    <row r="72" spans="3:3" ht="21" customHeight="1" x14ac:dyDescent="0.2">
      <c r="C72" s="24"/>
    </row>
    <row r="73" spans="3:3" ht="21" customHeight="1" x14ac:dyDescent="0.2">
      <c r="C73" s="24"/>
    </row>
    <row r="74" spans="3:3" ht="21" customHeight="1" x14ac:dyDescent="0.2">
      <c r="C74" s="24"/>
    </row>
    <row r="75" spans="3:3" ht="21" customHeight="1" x14ac:dyDescent="0.2">
      <c r="C75" s="24"/>
    </row>
    <row r="76" spans="3:3" ht="21" customHeight="1" x14ac:dyDescent="0.2">
      <c r="C76" s="24"/>
    </row>
    <row r="77" spans="3:3" ht="21" customHeight="1" x14ac:dyDescent="0.2">
      <c r="C77" s="24"/>
    </row>
    <row r="78" spans="3:3" ht="21" customHeight="1" x14ac:dyDescent="0.2">
      <c r="C78" s="24"/>
    </row>
    <row r="79" spans="3:3" ht="21" customHeight="1" x14ac:dyDescent="0.2">
      <c r="C79" s="24"/>
    </row>
    <row r="80" spans="3:3" ht="21" customHeight="1" x14ac:dyDescent="0.2">
      <c r="C80" s="24"/>
    </row>
    <row r="81" spans="3:3" ht="21" customHeight="1" x14ac:dyDescent="0.2">
      <c r="C81" s="24"/>
    </row>
    <row r="82" spans="3:3" ht="21" customHeight="1" x14ac:dyDescent="0.2">
      <c r="C82" s="24"/>
    </row>
    <row r="83" spans="3:3" ht="21" customHeight="1" x14ac:dyDescent="0.2">
      <c r="C83" s="24"/>
    </row>
    <row r="84" spans="3:3" ht="21" customHeight="1" x14ac:dyDescent="0.2">
      <c r="C84" s="24"/>
    </row>
    <row r="85" spans="3:3" ht="21" customHeight="1" x14ac:dyDescent="0.2">
      <c r="C85" s="24"/>
    </row>
    <row r="86" spans="3:3" ht="21" customHeight="1" x14ac:dyDescent="0.2">
      <c r="C86" s="24"/>
    </row>
    <row r="87" spans="3:3" ht="21" customHeight="1" x14ac:dyDescent="0.2">
      <c r="C87" s="24"/>
    </row>
    <row r="88" spans="3:3" ht="21" customHeight="1" x14ac:dyDescent="0.2">
      <c r="C88" s="24"/>
    </row>
    <row r="89" spans="3:3" ht="21" customHeight="1" x14ac:dyDescent="0.2">
      <c r="C89" s="24"/>
    </row>
    <row r="90" spans="3:3" ht="21" customHeight="1" x14ac:dyDescent="0.2">
      <c r="C90" s="24"/>
    </row>
    <row r="91" spans="3:3" ht="21" customHeight="1" x14ac:dyDescent="0.2">
      <c r="C91" s="24"/>
    </row>
    <row r="92" spans="3:3" ht="21" customHeight="1" x14ac:dyDescent="0.2">
      <c r="C92" s="24"/>
    </row>
    <row r="93" spans="3:3" ht="21" customHeight="1" x14ac:dyDescent="0.2">
      <c r="C93" s="24"/>
    </row>
    <row r="94" spans="3:3" ht="21" customHeight="1" x14ac:dyDescent="0.2">
      <c r="C94" s="24"/>
    </row>
    <row r="95" spans="3:3" ht="21" customHeight="1" x14ac:dyDescent="0.2">
      <c r="C95" s="24"/>
    </row>
    <row r="96" spans="3:3" ht="21" customHeight="1" x14ac:dyDescent="0.2">
      <c r="C96" s="24"/>
    </row>
    <row r="97" spans="3:3" ht="21" customHeight="1" x14ac:dyDescent="0.2">
      <c r="C97" s="24"/>
    </row>
    <row r="98" spans="3:3" ht="21" customHeight="1" x14ac:dyDescent="0.2">
      <c r="C98" s="24"/>
    </row>
    <row r="99" spans="3:3" ht="21" customHeight="1" x14ac:dyDescent="0.2">
      <c r="C99" s="24"/>
    </row>
    <row r="100" spans="3:3" ht="21" customHeight="1" x14ac:dyDescent="0.2">
      <c r="C100" s="24"/>
    </row>
    <row r="101" spans="3:3" ht="21" customHeight="1" x14ac:dyDescent="0.2">
      <c r="C101" s="24"/>
    </row>
    <row r="102" spans="3:3" ht="21" customHeight="1" x14ac:dyDescent="0.2">
      <c r="C102" s="24"/>
    </row>
    <row r="103" spans="3:3" ht="21" customHeight="1" x14ac:dyDescent="0.2">
      <c r="C103" s="24"/>
    </row>
    <row r="104" spans="3:3" ht="21" customHeight="1" x14ac:dyDescent="0.2">
      <c r="C104" s="24"/>
    </row>
    <row r="105" spans="3:3" ht="21" customHeight="1" x14ac:dyDescent="0.2">
      <c r="C105" s="24"/>
    </row>
    <row r="106" spans="3:3" ht="21" customHeight="1" x14ac:dyDescent="0.2">
      <c r="C106" s="24"/>
    </row>
    <row r="107" spans="3:3" ht="21" customHeight="1" x14ac:dyDescent="0.2">
      <c r="C107" s="24"/>
    </row>
    <row r="108" spans="3:3" ht="21" customHeight="1" x14ac:dyDescent="0.2">
      <c r="C108" s="24"/>
    </row>
    <row r="109" spans="3:3" ht="21" customHeight="1" x14ac:dyDescent="0.2">
      <c r="C109" s="24"/>
    </row>
    <row r="110" spans="3:3" ht="21" customHeight="1" x14ac:dyDescent="0.2">
      <c r="C110" s="24"/>
    </row>
    <row r="111" spans="3:3" ht="21" customHeight="1" x14ac:dyDescent="0.2">
      <c r="C111" s="24"/>
    </row>
    <row r="112" spans="3:3" ht="21" customHeight="1" x14ac:dyDescent="0.2">
      <c r="C112" s="24"/>
    </row>
    <row r="113" spans="3:3" ht="21" customHeight="1" x14ac:dyDescent="0.2">
      <c r="C113" s="24"/>
    </row>
    <row r="114" spans="3:3" ht="21" customHeight="1" x14ac:dyDescent="0.2">
      <c r="C114" s="24"/>
    </row>
    <row r="115" spans="3:3" ht="21" customHeight="1" x14ac:dyDescent="0.2">
      <c r="C115" s="24"/>
    </row>
    <row r="116" spans="3:3" ht="21" customHeight="1" x14ac:dyDescent="0.2">
      <c r="C116" s="24"/>
    </row>
    <row r="117" spans="3:3" ht="21" customHeight="1" x14ac:dyDescent="0.2">
      <c r="C117" s="24"/>
    </row>
    <row r="118" spans="3:3" ht="21" customHeight="1" x14ac:dyDescent="0.2">
      <c r="C118" s="24"/>
    </row>
    <row r="119" spans="3:3" ht="21" customHeight="1" x14ac:dyDescent="0.2">
      <c r="C119" s="24"/>
    </row>
    <row r="120" spans="3:3" ht="21" customHeight="1" x14ac:dyDescent="0.2">
      <c r="C120" s="24"/>
    </row>
    <row r="121" spans="3:3" ht="21" customHeight="1" x14ac:dyDescent="0.2">
      <c r="C121" s="24"/>
    </row>
    <row r="122" spans="3:3" ht="21" customHeight="1" x14ac:dyDescent="0.2">
      <c r="C122" s="24"/>
    </row>
    <row r="123" spans="3:3" ht="21" customHeight="1" x14ac:dyDescent="0.2">
      <c r="C123" s="24"/>
    </row>
    <row r="124" spans="3:3" ht="21" customHeight="1" x14ac:dyDescent="0.2">
      <c r="C124" s="24"/>
    </row>
    <row r="125" spans="3:3" ht="21" customHeight="1" x14ac:dyDescent="0.2">
      <c r="C125" s="24"/>
    </row>
    <row r="126" spans="3:3" ht="21" customHeight="1" x14ac:dyDescent="0.2">
      <c r="C126" s="24"/>
    </row>
    <row r="127" spans="3:3" ht="21" customHeight="1" x14ac:dyDescent="0.2">
      <c r="C127" s="24"/>
    </row>
    <row r="128" spans="3:3" ht="21" customHeight="1" x14ac:dyDescent="0.2">
      <c r="C128" s="24"/>
    </row>
    <row r="129" spans="3:3" ht="21" customHeight="1" x14ac:dyDescent="0.2">
      <c r="C129" s="24"/>
    </row>
    <row r="130" spans="3:3" ht="21" customHeight="1" x14ac:dyDescent="0.2">
      <c r="C130" s="24"/>
    </row>
    <row r="131" spans="3:3" ht="21" customHeight="1" x14ac:dyDescent="0.2">
      <c r="C131" s="24"/>
    </row>
    <row r="132" spans="3:3" ht="21" customHeight="1" x14ac:dyDescent="0.2">
      <c r="C132" s="24"/>
    </row>
    <row r="133" spans="3:3" ht="21" customHeight="1" x14ac:dyDescent="0.2">
      <c r="C133" s="24"/>
    </row>
    <row r="134" spans="3:3" ht="21" customHeight="1" x14ac:dyDescent="0.2">
      <c r="C134" s="24"/>
    </row>
    <row r="135" spans="3:3" ht="21" customHeight="1" x14ac:dyDescent="0.2">
      <c r="C135" s="24"/>
    </row>
    <row r="136" spans="3:3" ht="21" customHeight="1" x14ac:dyDescent="0.2">
      <c r="C136" s="24"/>
    </row>
    <row r="137" spans="3:3" ht="21" customHeight="1" x14ac:dyDescent="0.2">
      <c r="C137" s="24"/>
    </row>
    <row r="138" spans="3:3" ht="21" customHeight="1" x14ac:dyDescent="0.2">
      <c r="C138" s="24"/>
    </row>
    <row r="139" spans="3:3" ht="21" customHeight="1" x14ac:dyDescent="0.2">
      <c r="C139" s="24"/>
    </row>
    <row r="140" spans="3:3" ht="21" customHeight="1" x14ac:dyDescent="0.2">
      <c r="C140" s="24"/>
    </row>
    <row r="141" spans="3:3" ht="21" customHeight="1" x14ac:dyDescent="0.2">
      <c r="C141" s="24"/>
    </row>
    <row r="142" spans="3:3" ht="21" customHeight="1" x14ac:dyDescent="0.2">
      <c r="C142" s="24"/>
    </row>
    <row r="143" spans="3:3" ht="21" customHeight="1" x14ac:dyDescent="0.2">
      <c r="C143" s="24"/>
    </row>
    <row r="144" spans="3:3" ht="21" customHeight="1" x14ac:dyDescent="0.2">
      <c r="C144" s="24"/>
    </row>
    <row r="145" spans="3:3" ht="21" customHeight="1" x14ac:dyDescent="0.2">
      <c r="C145" s="24"/>
    </row>
    <row r="146" spans="3:3" ht="21" customHeight="1" x14ac:dyDescent="0.2">
      <c r="C146" s="24"/>
    </row>
    <row r="147" spans="3:3" ht="21" customHeight="1" x14ac:dyDescent="0.2">
      <c r="C147" s="24"/>
    </row>
    <row r="148" spans="3:3" ht="21" customHeight="1" x14ac:dyDescent="0.2">
      <c r="C148" s="24"/>
    </row>
    <row r="149" spans="3:3" ht="21" customHeight="1" x14ac:dyDescent="0.2">
      <c r="C149" s="24"/>
    </row>
    <row r="150" spans="3:3" ht="21" customHeight="1" x14ac:dyDescent="0.2">
      <c r="C150" s="24"/>
    </row>
    <row r="151" spans="3:3" ht="21" customHeight="1" x14ac:dyDescent="0.2">
      <c r="C151" s="24"/>
    </row>
    <row r="152" spans="3:3" ht="21" customHeight="1" x14ac:dyDescent="0.2">
      <c r="C152" s="24"/>
    </row>
    <row r="153" spans="3:3" ht="21" customHeight="1" x14ac:dyDescent="0.2">
      <c r="C153" s="24"/>
    </row>
    <row r="154" spans="3:3" ht="21" customHeight="1" x14ac:dyDescent="0.2">
      <c r="C154" s="24"/>
    </row>
    <row r="155" spans="3:3" ht="21" customHeight="1" x14ac:dyDescent="0.2">
      <c r="C155" s="24"/>
    </row>
    <row r="156" spans="3:3" ht="21" customHeight="1" x14ac:dyDescent="0.2">
      <c r="C156" s="24"/>
    </row>
    <row r="157" spans="3:3" ht="21" customHeight="1" x14ac:dyDescent="0.2">
      <c r="C157" s="24"/>
    </row>
    <row r="158" spans="3:3" ht="21" customHeight="1" x14ac:dyDescent="0.2">
      <c r="C158" s="24"/>
    </row>
    <row r="159" spans="3:3" ht="21" customHeight="1" x14ac:dyDescent="0.2">
      <c r="C159" s="24"/>
    </row>
    <row r="160" spans="3:3" ht="21" customHeight="1" x14ac:dyDescent="0.2">
      <c r="C160" s="24"/>
    </row>
    <row r="161" spans="3:3" ht="21" customHeight="1" x14ac:dyDescent="0.2">
      <c r="C161" s="24"/>
    </row>
    <row r="162" spans="3:3" ht="21" customHeight="1" x14ac:dyDescent="0.2">
      <c r="C162" s="24"/>
    </row>
    <row r="163" spans="3:3" ht="21" customHeight="1" x14ac:dyDescent="0.2">
      <c r="C163" s="24"/>
    </row>
    <row r="164" spans="3:3" ht="21" customHeight="1" x14ac:dyDescent="0.2">
      <c r="C164" s="24"/>
    </row>
    <row r="165" spans="3:3" ht="21" customHeight="1" x14ac:dyDescent="0.2">
      <c r="C165" s="24"/>
    </row>
    <row r="166" spans="3:3" ht="21" customHeight="1" x14ac:dyDescent="0.2">
      <c r="C166" s="24"/>
    </row>
    <row r="167" spans="3:3" ht="21" customHeight="1" x14ac:dyDescent="0.2">
      <c r="C167" s="24"/>
    </row>
    <row r="168" spans="3:3" ht="21" customHeight="1" x14ac:dyDescent="0.2">
      <c r="C168" s="24"/>
    </row>
    <row r="169" spans="3:3" ht="21" customHeight="1" x14ac:dyDescent="0.2">
      <c r="C169" s="24"/>
    </row>
    <row r="170" spans="3:3" ht="21" customHeight="1" x14ac:dyDescent="0.2">
      <c r="C170" s="24"/>
    </row>
    <row r="171" spans="3:3" ht="21" customHeight="1" x14ac:dyDescent="0.2">
      <c r="C171" s="24"/>
    </row>
    <row r="172" spans="3:3" ht="21" customHeight="1" x14ac:dyDescent="0.2">
      <c r="C172" s="24"/>
    </row>
    <row r="173" spans="3:3" ht="21" customHeight="1" x14ac:dyDescent="0.2">
      <c r="C173" s="24"/>
    </row>
    <row r="174" spans="3:3" ht="21" customHeight="1" x14ac:dyDescent="0.2">
      <c r="C174" s="24"/>
    </row>
    <row r="175" spans="3:3" ht="21" customHeight="1" x14ac:dyDescent="0.2">
      <c r="C175" s="24"/>
    </row>
    <row r="176" spans="3:3" ht="21" customHeight="1" x14ac:dyDescent="0.2">
      <c r="C176" s="24"/>
    </row>
    <row r="177" spans="3:3" ht="21" customHeight="1" x14ac:dyDescent="0.2">
      <c r="C177" s="24"/>
    </row>
    <row r="178" spans="3:3" ht="21" customHeight="1" x14ac:dyDescent="0.2">
      <c r="C178" s="24"/>
    </row>
    <row r="179" spans="3:3" ht="21" customHeight="1" x14ac:dyDescent="0.2">
      <c r="C179" s="24"/>
    </row>
    <row r="180" spans="3:3" ht="21" customHeight="1" x14ac:dyDescent="0.2">
      <c r="C180" s="24"/>
    </row>
    <row r="181" spans="3:3" ht="21" customHeight="1" x14ac:dyDescent="0.2">
      <c r="C181" s="24"/>
    </row>
    <row r="182" spans="3:3" ht="21" customHeight="1" x14ac:dyDescent="0.2">
      <c r="C182" s="24"/>
    </row>
    <row r="183" spans="3:3" ht="21" customHeight="1" x14ac:dyDescent="0.2">
      <c r="C183" s="24"/>
    </row>
    <row r="184" spans="3:3" ht="21" customHeight="1" x14ac:dyDescent="0.2">
      <c r="C184" s="24"/>
    </row>
    <row r="185" spans="3:3" ht="21" customHeight="1" x14ac:dyDescent="0.2">
      <c r="C185" s="24"/>
    </row>
    <row r="186" spans="3:3" ht="21" customHeight="1" x14ac:dyDescent="0.2">
      <c r="C186" s="24"/>
    </row>
    <row r="187" spans="3:3" ht="21" customHeight="1" x14ac:dyDescent="0.2">
      <c r="C187" s="24"/>
    </row>
    <row r="188" spans="3:3" ht="21" customHeight="1" x14ac:dyDescent="0.2">
      <c r="C188" s="24"/>
    </row>
    <row r="189" spans="3:3" ht="21" customHeight="1" x14ac:dyDescent="0.2">
      <c r="C189" s="24"/>
    </row>
    <row r="190" spans="3:3" ht="21" customHeight="1" x14ac:dyDescent="0.2">
      <c r="C190" s="24"/>
    </row>
    <row r="191" spans="3:3" ht="21" customHeight="1" x14ac:dyDescent="0.2">
      <c r="C191" s="24"/>
    </row>
    <row r="192" spans="3:3" ht="21" customHeight="1" x14ac:dyDescent="0.2">
      <c r="C192" s="24"/>
    </row>
    <row r="193" spans="3:3" ht="21" customHeight="1" x14ac:dyDescent="0.2">
      <c r="C193" s="24"/>
    </row>
    <row r="194" spans="3:3" ht="21" customHeight="1" x14ac:dyDescent="0.2">
      <c r="C194" s="24"/>
    </row>
    <row r="195" spans="3:3" ht="21" customHeight="1" x14ac:dyDescent="0.2">
      <c r="C195" s="24"/>
    </row>
    <row r="196" spans="3:3" ht="21" customHeight="1" x14ac:dyDescent="0.2">
      <c r="C196" s="24"/>
    </row>
    <row r="197" spans="3:3" ht="21" customHeight="1" x14ac:dyDescent="0.2">
      <c r="C197" s="24"/>
    </row>
    <row r="198" spans="3:3" ht="21" customHeight="1" x14ac:dyDescent="0.2">
      <c r="C198" s="24"/>
    </row>
    <row r="199" spans="3:3" ht="21" customHeight="1" x14ac:dyDescent="0.2">
      <c r="C199" s="24"/>
    </row>
    <row r="200" spans="3:3" ht="21" customHeight="1" x14ac:dyDescent="0.2">
      <c r="C200" s="24"/>
    </row>
    <row r="201" spans="3:3" ht="21" customHeight="1" x14ac:dyDescent="0.2">
      <c r="C201" s="24"/>
    </row>
    <row r="202" spans="3:3" ht="21" customHeight="1" x14ac:dyDescent="0.2">
      <c r="C202" s="24"/>
    </row>
    <row r="203" spans="3:3" ht="21" customHeight="1" x14ac:dyDescent="0.2">
      <c r="C203" s="24"/>
    </row>
    <row r="204" spans="3:3" ht="21" customHeight="1" x14ac:dyDescent="0.2">
      <c r="C204" s="24"/>
    </row>
    <row r="205" spans="3:3" ht="21" customHeight="1" x14ac:dyDescent="0.2">
      <c r="C205" s="24"/>
    </row>
    <row r="206" spans="3:3" ht="21" customHeight="1" x14ac:dyDescent="0.2">
      <c r="C206" s="24"/>
    </row>
    <row r="207" spans="3:3" ht="21" customHeight="1" x14ac:dyDescent="0.2">
      <c r="C207" s="24"/>
    </row>
    <row r="208" spans="3:3" ht="21" customHeight="1" x14ac:dyDescent="0.2">
      <c r="C208" s="24"/>
    </row>
    <row r="209" spans="3:3" ht="21" customHeight="1" x14ac:dyDescent="0.2">
      <c r="C209" s="24"/>
    </row>
    <row r="210" spans="3:3" ht="21" customHeight="1" x14ac:dyDescent="0.2">
      <c r="C210" s="24"/>
    </row>
    <row r="211" spans="3:3" ht="21" customHeight="1" x14ac:dyDescent="0.2">
      <c r="C211" s="24"/>
    </row>
    <row r="212" spans="3:3" ht="21" customHeight="1" x14ac:dyDescent="0.2">
      <c r="C212" s="24"/>
    </row>
    <row r="213" spans="3:3" ht="21" customHeight="1" x14ac:dyDescent="0.2">
      <c r="C213" s="24"/>
    </row>
    <row r="214" spans="3:3" ht="21" customHeight="1" x14ac:dyDescent="0.2">
      <c r="C214" s="24"/>
    </row>
    <row r="215" spans="3:3" ht="21" customHeight="1" x14ac:dyDescent="0.2">
      <c r="C215" s="24"/>
    </row>
    <row r="216" spans="3:3" ht="21" customHeight="1" x14ac:dyDescent="0.2">
      <c r="C216" s="24"/>
    </row>
    <row r="217" spans="3:3" ht="21" customHeight="1" x14ac:dyDescent="0.2">
      <c r="C217" s="24"/>
    </row>
    <row r="218" spans="3:3" ht="21" customHeight="1" x14ac:dyDescent="0.2">
      <c r="C218" s="24"/>
    </row>
    <row r="219" spans="3:3" ht="21" customHeight="1" x14ac:dyDescent="0.2">
      <c r="C219" s="24"/>
    </row>
    <row r="220" spans="3:3" ht="21" customHeight="1" x14ac:dyDescent="0.2">
      <c r="C220" s="24"/>
    </row>
    <row r="221" spans="3:3" ht="21" customHeight="1" x14ac:dyDescent="0.2">
      <c r="C221" s="24"/>
    </row>
    <row r="222" spans="3:3" ht="21" customHeight="1" x14ac:dyDescent="0.2">
      <c r="C222" s="24"/>
    </row>
    <row r="223" spans="3:3" ht="21" customHeight="1" x14ac:dyDescent="0.2">
      <c r="C223" s="24"/>
    </row>
    <row r="224" spans="3:3" ht="21" customHeight="1" x14ac:dyDescent="0.2">
      <c r="C224" s="24"/>
    </row>
    <row r="225" spans="3:3" ht="21" customHeight="1" x14ac:dyDescent="0.2">
      <c r="C225" s="24"/>
    </row>
    <row r="226" spans="3:3" ht="21" customHeight="1" x14ac:dyDescent="0.2">
      <c r="C226" s="24"/>
    </row>
    <row r="227" spans="3:3" ht="21" customHeight="1" x14ac:dyDescent="0.2">
      <c r="C227" s="24"/>
    </row>
    <row r="228" spans="3:3" ht="21" customHeight="1" x14ac:dyDescent="0.2">
      <c r="C228" s="24"/>
    </row>
    <row r="229" spans="3:3" ht="21" customHeight="1" x14ac:dyDescent="0.2">
      <c r="C229" s="24"/>
    </row>
    <row r="230" spans="3:3" ht="21" customHeight="1" x14ac:dyDescent="0.2">
      <c r="C230" s="24"/>
    </row>
    <row r="231" spans="3:3" ht="21" customHeight="1" x14ac:dyDescent="0.2">
      <c r="C231" s="24"/>
    </row>
    <row r="232" spans="3:3" ht="21" customHeight="1" x14ac:dyDescent="0.2">
      <c r="C232" s="24"/>
    </row>
    <row r="233" spans="3:3" ht="21" customHeight="1" x14ac:dyDescent="0.2">
      <c r="C233" s="24"/>
    </row>
    <row r="234" spans="3:3" ht="21" customHeight="1" x14ac:dyDescent="0.2">
      <c r="C234" s="24"/>
    </row>
    <row r="235" spans="3:3" ht="21" customHeight="1" x14ac:dyDescent="0.2">
      <c r="C235" s="24"/>
    </row>
    <row r="236" spans="3:3" ht="21" customHeight="1" x14ac:dyDescent="0.2">
      <c r="C236" s="24"/>
    </row>
    <row r="237" spans="3:3" ht="21" customHeight="1" x14ac:dyDescent="0.2">
      <c r="C237" s="24"/>
    </row>
    <row r="238" spans="3:3" ht="21" customHeight="1" x14ac:dyDescent="0.2">
      <c r="C238" s="24"/>
    </row>
    <row r="239" spans="3:3" ht="21" customHeight="1" x14ac:dyDescent="0.2">
      <c r="C239" s="24"/>
    </row>
    <row r="240" spans="3:3" ht="21" customHeight="1" x14ac:dyDescent="0.2">
      <c r="C240" s="24"/>
    </row>
    <row r="241" spans="3:3" ht="21" customHeight="1" x14ac:dyDescent="0.2">
      <c r="C241" s="24"/>
    </row>
    <row r="242" spans="3:3" ht="21" customHeight="1" x14ac:dyDescent="0.2">
      <c r="C242" s="24"/>
    </row>
    <row r="243" spans="3:3" ht="21" customHeight="1" x14ac:dyDescent="0.2">
      <c r="C243" s="24"/>
    </row>
    <row r="244" spans="3:3" ht="21" customHeight="1" x14ac:dyDescent="0.2">
      <c r="C244" s="24"/>
    </row>
    <row r="245" spans="3:3" ht="21" customHeight="1" x14ac:dyDescent="0.2">
      <c r="C245" s="24"/>
    </row>
    <row r="246" spans="3:3" ht="21" customHeight="1" x14ac:dyDescent="0.2">
      <c r="C246" s="24"/>
    </row>
    <row r="247" spans="3:3" ht="21" customHeight="1" x14ac:dyDescent="0.2">
      <c r="C247" s="24"/>
    </row>
    <row r="248" spans="3:3" ht="21" customHeight="1" x14ac:dyDescent="0.2">
      <c r="C248" s="24"/>
    </row>
    <row r="249" spans="3:3" ht="21" customHeight="1" x14ac:dyDescent="0.2">
      <c r="C249" s="24"/>
    </row>
    <row r="250" spans="3:3" ht="21" customHeight="1" x14ac:dyDescent="0.2">
      <c r="C250" s="24"/>
    </row>
    <row r="251" spans="3:3" ht="21" customHeight="1" x14ac:dyDescent="0.2">
      <c r="C251" s="24"/>
    </row>
    <row r="252" spans="3:3" ht="21" customHeight="1" x14ac:dyDescent="0.2">
      <c r="C252" s="24"/>
    </row>
    <row r="253" spans="3:3" ht="21" customHeight="1" x14ac:dyDescent="0.2">
      <c r="C253" s="24"/>
    </row>
    <row r="254" spans="3:3" ht="21" customHeight="1" x14ac:dyDescent="0.2">
      <c r="C254" s="24"/>
    </row>
    <row r="255" spans="3:3" ht="21" customHeight="1" x14ac:dyDescent="0.2">
      <c r="C255" s="24"/>
    </row>
    <row r="256" spans="3:3" ht="21" customHeight="1" x14ac:dyDescent="0.2">
      <c r="C256" s="24"/>
    </row>
    <row r="257" spans="3:3" ht="21" customHeight="1" x14ac:dyDescent="0.2">
      <c r="C257" s="24"/>
    </row>
    <row r="258" spans="3:3" ht="21" customHeight="1" x14ac:dyDescent="0.2">
      <c r="C258" s="24"/>
    </row>
    <row r="259" spans="3:3" ht="21" customHeight="1" x14ac:dyDescent="0.2">
      <c r="C259" s="24"/>
    </row>
    <row r="260" spans="3:3" ht="21" customHeight="1" x14ac:dyDescent="0.2">
      <c r="C260" s="24"/>
    </row>
    <row r="261" spans="3:3" ht="21" customHeight="1" x14ac:dyDescent="0.2">
      <c r="C261" s="24"/>
    </row>
    <row r="262" spans="3:3" ht="21" customHeight="1" x14ac:dyDescent="0.2">
      <c r="C262" s="24"/>
    </row>
    <row r="263" spans="3:3" ht="21" customHeight="1" x14ac:dyDescent="0.2">
      <c r="C263" s="24"/>
    </row>
    <row r="264" spans="3:3" ht="21" customHeight="1" x14ac:dyDescent="0.2">
      <c r="C264" s="24"/>
    </row>
    <row r="265" spans="3:3" ht="21" customHeight="1" x14ac:dyDescent="0.2">
      <c r="C265" s="24"/>
    </row>
    <row r="266" spans="3:3" ht="21" customHeight="1" x14ac:dyDescent="0.2">
      <c r="C266" s="24"/>
    </row>
    <row r="267" spans="3:3" ht="21" customHeight="1" x14ac:dyDescent="0.2">
      <c r="C267" s="24"/>
    </row>
    <row r="268" spans="3:3" ht="21" customHeight="1" x14ac:dyDescent="0.2">
      <c r="C268" s="24"/>
    </row>
    <row r="269" spans="3:3" ht="21" customHeight="1" x14ac:dyDescent="0.2">
      <c r="C269" s="24"/>
    </row>
    <row r="270" spans="3:3" ht="21" customHeight="1" x14ac:dyDescent="0.2">
      <c r="C270" s="24"/>
    </row>
    <row r="271" spans="3:3" ht="21" customHeight="1" x14ac:dyDescent="0.2">
      <c r="C271" s="24"/>
    </row>
    <row r="272" spans="3:3" ht="21" customHeight="1" x14ac:dyDescent="0.2">
      <c r="C272" s="24"/>
    </row>
    <row r="273" spans="3:3" ht="21" customHeight="1" x14ac:dyDescent="0.2">
      <c r="C273" s="24"/>
    </row>
    <row r="274" spans="3:3" ht="21" customHeight="1" x14ac:dyDescent="0.2">
      <c r="C274" s="24"/>
    </row>
    <row r="275" spans="3:3" ht="21" customHeight="1" x14ac:dyDescent="0.2">
      <c r="C275" s="24"/>
    </row>
    <row r="276" spans="3:3" ht="21" customHeight="1" x14ac:dyDescent="0.2">
      <c r="C276" s="24"/>
    </row>
    <row r="277" spans="3:3" ht="21" customHeight="1" x14ac:dyDescent="0.2">
      <c r="C277" s="24"/>
    </row>
    <row r="278" spans="3:3" ht="21" customHeight="1" x14ac:dyDescent="0.2">
      <c r="C278" s="24"/>
    </row>
    <row r="279" spans="3:3" ht="21" customHeight="1" x14ac:dyDescent="0.2">
      <c r="C279" s="24"/>
    </row>
    <row r="280" spans="3:3" ht="21" customHeight="1" x14ac:dyDescent="0.2">
      <c r="C280" s="24"/>
    </row>
    <row r="281" spans="3:3" ht="21" customHeight="1" x14ac:dyDescent="0.2">
      <c r="C281" s="24"/>
    </row>
    <row r="282" spans="3:3" ht="21" customHeight="1" x14ac:dyDescent="0.2">
      <c r="C282" s="24"/>
    </row>
    <row r="283" spans="3:3" ht="21" customHeight="1" x14ac:dyDescent="0.2">
      <c r="C283" s="24"/>
    </row>
    <row r="284" spans="3:3" ht="21" customHeight="1" x14ac:dyDescent="0.2">
      <c r="C284" s="24"/>
    </row>
    <row r="285" spans="3:3" ht="21" customHeight="1" x14ac:dyDescent="0.2">
      <c r="C285" s="24"/>
    </row>
    <row r="286" spans="3:3" ht="21" customHeight="1" x14ac:dyDescent="0.2">
      <c r="C286" s="24"/>
    </row>
    <row r="287" spans="3:3" ht="21" customHeight="1" x14ac:dyDescent="0.2">
      <c r="C287" s="24"/>
    </row>
    <row r="288" spans="3:3" ht="21" customHeight="1" x14ac:dyDescent="0.2">
      <c r="C288" s="24"/>
    </row>
    <row r="289" spans="3:3" ht="21" customHeight="1" x14ac:dyDescent="0.2">
      <c r="C289" s="24"/>
    </row>
    <row r="290" spans="3:3" ht="21" customHeight="1" x14ac:dyDescent="0.2">
      <c r="C290" s="24"/>
    </row>
    <row r="291" spans="3:3" ht="21" customHeight="1" x14ac:dyDescent="0.2">
      <c r="C291" s="24"/>
    </row>
    <row r="292" spans="3:3" ht="21" customHeight="1" x14ac:dyDescent="0.2">
      <c r="C292" s="24"/>
    </row>
    <row r="293" spans="3:3" ht="21" customHeight="1" x14ac:dyDescent="0.2">
      <c r="C293" s="24"/>
    </row>
    <row r="294" spans="3:3" ht="21" customHeight="1" x14ac:dyDescent="0.2">
      <c r="C294" s="24"/>
    </row>
    <row r="295" spans="3:3" ht="21" customHeight="1" x14ac:dyDescent="0.2">
      <c r="C295" s="24"/>
    </row>
    <row r="296" spans="3:3" ht="21" customHeight="1" x14ac:dyDescent="0.2">
      <c r="C296" s="24"/>
    </row>
    <row r="297" spans="3:3" ht="21" customHeight="1" x14ac:dyDescent="0.2">
      <c r="C297" s="24"/>
    </row>
    <row r="298" spans="3:3" ht="21" customHeight="1" x14ac:dyDescent="0.2">
      <c r="C298" s="24"/>
    </row>
    <row r="299" spans="3:3" ht="21" customHeight="1" x14ac:dyDescent="0.2">
      <c r="C299" s="24"/>
    </row>
    <row r="300" spans="3:3" ht="21" customHeight="1" x14ac:dyDescent="0.2">
      <c r="C300" s="24"/>
    </row>
    <row r="301" spans="3:3" ht="21" customHeight="1" x14ac:dyDescent="0.2">
      <c r="C301" s="24"/>
    </row>
    <row r="302" spans="3:3" ht="21" customHeight="1" x14ac:dyDescent="0.2">
      <c r="C302" s="24"/>
    </row>
    <row r="303" spans="3:3" ht="21" customHeight="1" x14ac:dyDescent="0.2">
      <c r="C303" s="24"/>
    </row>
    <row r="304" spans="3:3" ht="21" customHeight="1" x14ac:dyDescent="0.2">
      <c r="C304" s="24"/>
    </row>
    <row r="305" spans="3:3" ht="21" customHeight="1" x14ac:dyDescent="0.2">
      <c r="C305" s="24"/>
    </row>
    <row r="306" spans="3:3" ht="21" customHeight="1" x14ac:dyDescent="0.2">
      <c r="C306" s="24"/>
    </row>
    <row r="307" spans="3:3" ht="21" customHeight="1" x14ac:dyDescent="0.2">
      <c r="C307" s="24"/>
    </row>
    <row r="308" spans="3:3" ht="21" customHeight="1" x14ac:dyDescent="0.2">
      <c r="C308" s="24"/>
    </row>
    <row r="309" spans="3:3" ht="21" customHeight="1" x14ac:dyDescent="0.2">
      <c r="C309" s="24"/>
    </row>
    <row r="310" spans="3:3" ht="21" customHeight="1" x14ac:dyDescent="0.2">
      <c r="C310" s="24"/>
    </row>
    <row r="311" spans="3:3" ht="21" customHeight="1" x14ac:dyDescent="0.2">
      <c r="C311" s="24"/>
    </row>
    <row r="312" spans="3:3" ht="21" customHeight="1" x14ac:dyDescent="0.2">
      <c r="C312" s="24"/>
    </row>
    <row r="313" spans="3:3" ht="21" customHeight="1" x14ac:dyDescent="0.2">
      <c r="C313" s="24"/>
    </row>
    <row r="314" spans="3:3" ht="21" customHeight="1" x14ac:dyDescent="0.2">
      <c r="C314" s="24"/>
    </row>
    <row r="315" spans="3:3" ht="21" customHeight="1" x14ac:dyDescent="0.2">
      <c r="C315" s="24"/>
    </row>
    <row r="316" spans="3:3" ht="21" customHeight="1" x14ac:dyDescent="0.2">
      <c r="C316" s="24"/>
    </row>
    <row r="317" spans="3:3" ht="21" customHeight="1" x14ac:dyDescent="0.2">
      <c r="C317" s="24"/>
    </row>
    <row r="318" spans="3:3" ht="21" customHeight="1" x14ac:dyDescent="0.2">
      <c r="C318" s="24"/>
    </row>
    <row r="319" spans="3:3" ht="21" customHeight="1" x14ac:dyDescent="0.2">
      <c r="C319" s="24"/>
    </row>
    <row r="320" spans="3:3" ht="21" customHeight="1" x14ac:dyDescent="0.2">
      <c r="C320" s="24"/>
    </row>
    <row r="321" spans="3:3" ht="21" customHeight="1" x14ac:dyDescent="0.2">
      <c r="C321" s="24"/>
    </row>
    <row r="322" spans="3:3" ht="21" customHeight="1" x14ac:dyDescent="0.2">
      <c r="C322" s="24"/>
    </row>
    <row r="323" spans="3:3" ht="21" customHeight="1" x14ac:dyDescent="0.2">
      <c r="C323" s="24"/>
    </row>
    <row r="324" spans="3:3" ht="21" customHeight="1" x14ac:dyDescent="0.2">
      <c r="C324" s="24"/>
    </row>
    <row r="325" spans="3:3" ht="21" customHeight="1" x14ac:dyDescent="0.2">
      <c r="C325" s="24"/>
    </row>
    <row r="326" spans="3:3" ht="21" customHeight="1" x14ac:dyDescent="0.2">
      <c r="C326" s="24"/>
    </row>
    <row r="327" spans="3:3" ht="21" customHeight="1" x14ac:dyDescent="0.2">
      <c r="C327" s="24"/>
    </row>
    <row r="328" spans="3:3" ht="21" customHeight="1" x14ac:dyDescent="0.2">
      <c r="C328" s="24"/>
    </row>
    <row r="329" spans="3:3" ht="21" customHeight="1" x14ac:dyDescent="0.2">
      <c r="C329" s="24"/>
    </row>
    <row r="330" spans="3:3" ht="21" customHeight="1" x14ac:dyDescent="0.2">
      <c r="C330" s="24"/>
    </row>
    <row r="331" spans="3:3" ht="21" customHeight="1" x14ac:dyDescent="0.2">
      <c r="C331" s="24"/>
    </row>
    <row r="332" spans="3:3" ht="21" customHeight="1" x14ac:dyDescent="0.2">
      <c r="C332" s="24"/>
    </row>
    <row r="333" spans="3:3" ht="21" customHeight="1" x14ac:dyDescent="0.2">
      <c r="C333" s="24"/>
    </row>
    <row r="334" spans="3:3" ht="21" customHeight="1" x14ac:dyDescent="0.2">
      <c r="C334" s="24"/>
    </row>
    <row r="335" spans="3:3" ht="21" customHeight="1" x14ac:dyDescent="0.2">
      <c r="C335" s="24"/>
    </row>
    <row r="336" spans="3:3" ht="21" customHeight="1" x14ac:dyDescent="0.2">
      <c r="C336" s="24"/>
    </row>
    <row r="337" spans="3:3" ht="21" customHeight="1" x14ac:dyDescent="0.2">
      <c r="C337" s="24"/>
    </row>
    <row r="338" spans="3:3" ht="21" customHeight="1" x14ac:dyDescent="0.2">
      <c r="C338" s="24"/>
    </row>
    <row r="339" spans="3:3" ht="21" customHeight="1" x14ac:dyDescent="0.2">
      <c r="C339" s="24"/>
    </row>
    <row r="340" spans="3:3" ht="21" customHeight="1" x14ac:dyDescent="0.2">
      <c r="C340" s="24"/>
    </row>
    <row r="341" spans="3:3" ht="21" customHeight="1" x14ac:dyDescent="0.2">
      <c r="C341" s="24"/>
    </row>
    <row r="342" spans="3:3" ht="21" customHeight="1" x14ac:dyDescent="0.2">
      <c r="C342" s="24"/>
    </row>
    <row r="343" spans="3:3" ht="21" customHeight="1" x14ac:dyDescent="0.2">
      <c r="C343" s="24"/>
    </row>
    <row r="344" spans="3:3" ht="21" customHeight="1" x14ac:dyDescent="0.2">
      <c r="C344" s="24"/>
    </row>
    <row r="345" spans="3:3" ht="21" customHeight="1" x14ac:dyDescent="0.2">
      <c r="C345" s="24"/>
    </row>
    <row r="346" spans="3:3" ht="21" customHeight="1" x14ac:dyDescent="0.2">
      <c r="C346" s="24"/>
    </row>
    <row r="347" spans="3:3" ht="21" customHeight="1" x14ac:dyDescent="0.2">
      <c r="C347" s="24"/>
    </row>
    <row r="348" spans="3:3" ht="21" customHeight="1" x14ac:dyDescent="0.2">
      <c r="C348" s="24"/>
    </row>
    <row r="349" spans="3:3" ht="21" customHeight="1" x14ac:dyDescent="0.2">
      <c r="C349" s="24"/>
    </row>
    <row r="350" spans="3:3" ht="21" customHeight="1" x14ac:dyDescent="0.2">
      <c r="C350" s="24"/>
    </row>
    <row r="351" spans="3:3" ht="21" customHeight="1" x14ac:dyDescent="0.2">
      <c r="C351" s="24"/>
    </row>
    <row r="352" spans="3:3" ht="21" customHeight="1" x14ac:dyDescent="0.2">
      <c r="C352" s="24"/>
    </row>
    <row r="353" spans="3:3" ht="21" customHeight="1" x14ac:dyDescent="0.2">
      <c r="C353" s="24"/>
    </row>
    <row r="354" spans="3:3" ht="21" customHeight="1" x14ac:dyDescent="0.2">
      <c r="C354" s="24"/>
    </row>
    <row r="355" spans="3:3" ht="21" customHeight="1" x14ac:dyDescent="0.2">
      <c r="C355" s="24"/>
    </row>
    <row r="356" spans="3:3" ht="21" customHeight="1" x14ac:dyDescent="0.2">
      <c r="C356" s="24"/>
    </row>
    <row r="357" spans="3:3" ht="21" customHeight="1" x14ac:dyDescent="0.2">
      <c r="C357" s="24"/>
    </row>
    <row r="358" spans="3:3" ht="21" customHeight="1" x14ac:dyDescent="0.2">
      <c r="C358" s="24"/>
    </row>
    <row r="359" spans="3:3" ht="21" customHeight="1" x14ac:dyDescent="0.2">
      <c r="C359" s="24"/>
    </row>
    <row r="360" spans="3:3" ht="21" customHeight="1" x14ac:dyDescent="0.2">
      <c r="C360" s="24"/>
    </row>
    <row r="361" spans="3:3" ht="21" customHeight="1" x14ac:dyDescent="0.2">
      <c r="C361" s="24"/>
    </row>
    <row r="362" spans="3:3" ht="21" customHeight="1" x14ac:dyDescent="0.2">
      <c r="C362" s="24"/>
    </row>
    <row r="363" spans="3:3" ht="21" customHeight="1" x14ac:dyDescent="0.2">
      <c r="C363" s="24"/>
    </row>
    <row r="364" spans="3:3" ht="21" customHeight="1" x14ac:dyDescent="0.2">
      <c r="C364" s="24"/>
    </row>
    <row r="365" spans="3:3" ht="21" customHeight="1" x14ac:dyDescent="0.2">
      <c r="C365" s="24"/>
    </row>
    <row r="366" spans="3:3" ht="21" customHeight="1" x14ac:dyDescent="0.2">
      <c r="C366" s="24"/>
    </row>
    <row r="367" spans="3:3" ht="21" customHeight="1" x14ac:dyDescent="0.2">
      <c r="C367" s="24"/>
    </row>
    <row r="368" spans="3:3" ht="21" customHeight="1" x14ac:dyDescent="0.2">
      <c r="C368" s="24"/>
    </row>
    <row r="369" spans="3:3" ht="21" customHeight="1" x14ac:dyDescent="0.2">
      <c r="C369" s="24"/>
    </row>
    <row r="370" spans="3:3" ht="21" customHeight="1" x14ac:dyDescent="0.2">
      <c r="C370" s="24"/>
    </row>
    <row r="371" spans="3:3" ht="21" customHeight="1" x14ac:dyDescent="0.2">
      <c r="C371" s="24"/>
    </row>
    <row r="372" spans="3:3" ht="21" customHeight="1" x14ac:dyDescent="0.2">
      <c r="C372" s="24"/>
    </row>
    <row r="373" spans="3:3" ht="21" customHeight="1" x14ac:dyDescent="0.2">
      <c r="C373" s="24"/>
    </row>
    <row r="374" spans="3:3" ht="21" customHeight="1" x14ac:dyDescent="0.2">
      <c r="C374" s="24"/>
    </row>
    <row r="375" spans="3:3" ht="21" customHeight="1" x14ac:dyDescent="0.2">
      <c r="C375" s="24"/>
    </row>
    <row r="376" spans="3:3" ht="21" customHeight="1" x14ac:dyDescent="0.2">
      <c r="C376" s="24"/>
    </row>
    <row r="377" spans="3:3" ht="21" customHeight="1" x14ac:dyDescent="0.2">
      <c r="C377" s="24"/>
    </row>
    <row r="378" spans="3:3" ht="21" customHeight="1" x14ac:dyDescent="0.2">
      <c r="C378" s="24"/>
    </row>
    <row r="379" spans="3:3" ht="21" customHeight="1" x14ac:dyDescent="0.2">
      <c r="C379" s="24"/>
    </row>
    <row r="380" spans="3:3" ht="21" customHeight="1" x14ac:dyDescent="0.2">
      <c r="C380" s="24"/>
    </row>
    <row r="381" spans="3:3" ht="21" customHeight="1" x14ac:dyDescent="0.2">
      <c r="C381" s="24"/>
    </row>
    <row r="382" spans="3:3" ht="21" customHeight="1" x14ac:dyDescent="0.2">
      <c r="C382" s="24"/>
    </row>
    <row r="383" spans="3:3" ht="21" customHeight="1" x14ac:dyDescent="0.2">
      <c r="C383" s="24"/>
    </row>
    <row r="384" spans="3:3" ht="21" customHeight="1" x14ac:dyDescent="0.2">
      <c r="C384" s="24"/>
    </row>
    <row r="385" spans="3:3" ht="21" customHeight="1" x14ac:dyDescent="0.2">
      <c r="C385" s="24"/>
    </row>
    <row r="386" spans="3:3" ht="21" customHeight="1" x14ac:dyDescent="0.2">
      <c r="C386" s="24"/>
    </row>
    <row r="387" spans="3:3" ht="21" customHeight="1" x14ac:dyDescent="0.2">
      <c r="C387" s="24"/>
    </row>
    <row r="388" spans="3:3" ht="21" customHeight="1" x14ac:dyDescent="0.2">
      <c r="C388" s="24"/>
    </row>
    <row r="389" spans="3:3" ht="21" customHeight="1" x14ac:dyDescent="0.2">
      <c r="C389" s="24"/>
    </row>
    <row r="390" spans="3:3" ht="21" customHeight="1" x14ac:dyDescent="0.2">
      <c r="C390" s="24"/>
    </row>
    <row r="391" spans="3:3" ht="21" customHeight="1" x14ac:dyDescent="0.2">
      <c r="C391" s="24"/>
    </row>
    <row r="392" spans="3:3" ht="21" customHeight="1" x14ac:dyDescent="0.2">
      <c r="C392" s="24"/>
    </row>
    <row r="393" spans="3:3" ht="21" customHeight="1" x14ac:dyDescent="0.2">
      <c r="C393" s="24"/>
    </row>
    <row r="394" spans="3:3" ht="21" customHeight="1" x14ac:dyDescent="0.2">
      <c r="C394" s="24"/>
    </row>
    <row r="395" spans="3:3" ht="21" customHeight="1" x14ac:dyDescent="0.2">
      <c r="C395" s="24"/>
    </row>
    <row r="396" spans="3:3" ht="21" customHeight="1" x14ac:dyDescent="0.2">
      <c r="C396" s="24"/>
    </row>
    <row r="397" spans="3:3" ht="21" customHeight="1" x14ac:dyDescent="0.2">
      <c r="C397" s="24"/>
    </row>
    <row r="398" spans="3:3" ht="21" customHeight="1" x14ac:dyDescent="0.2">
      <c r="C398" s="24"/>
    </row>
    <row r="399" spans="3:3" ht="21" customHeight="1" x14ac:dyDescent="0.2">
      <c r="C399" s="24"/>
    </row>
    <row r="400" spans="3:3" ht="21" customHeight="1" x14ac:dyDescent="0.2">
      <c r="C400" s="24"/>
    </row>
    <row r="401" spans="3:3" ht="21" customHeight="1" x14ac:dyDescent="0.2">
      <c r="C401" s="24"/>
    </row>
    <row r="402" spans="3:3" ht="21" customHeight="1" x14ac:dyDescent="0.2">
      <c r="C402" s="24"/>
    </row>
    <row r="403" spans="3:3" ht="21" customHeight="1" x14ac:dyDescent="0.2">
      <c r="C403" s="24"/>
    </row>
    <row r="404" spans="3:3" ht="21" customHeight="1" x14ac:dyDescent="0.2">
      <c r="C404" s="24"/>
    </row>
    <row r="405" spans="3:3" ht="21" customHeight="1" x14ac:dyDescent="0.2">
      <c r="C405" s="24"/>
    </row>
    <row r="406" spans="3:3" ht="21" customHeight="1" x14ac:dyDescent="0.2">
      <c r="C406" s="24"/>
    </row>
    <row r="407" spans="3:3" ht="21" customHeight="1" x14ac:dyDescent="0.2">
      <c r="C407" s="24"/>
    </row>
    <row r="408" spans="3:3" ht="21" customHeight="1" x14ac:dyDescent="0.2">
      <c r="C408" s="24"/>
    </row>
    <row r="409" spans="3:3" ht="21" customHeight="1" x14ac:dyDescent="0.2">
      <c r="C409" s="24"/>
    </row>
    <row r="410" spans="3:3" ht="21" customHeight="1" x14ac:dyDescent="0.2">
      <c r="C410" s="24"/>
    </row>
    <row r="411" spans="3:3" ht="21" customHeight="1" x14ac:dyDescent="0.2">
      <c r="C411" s="24"/>
    </row>
    <row r="412" spans="3:3" ht="21" customHeight="1" x14ac:dyDescent="0.2">
      <c r="C412" s="24"/>
    </row>
    <row r="413" spans="3:3" ht="21" customHeight="1" x14ac:dyDescent="0.2">
      <c r="C413" s="24"/>
    </row>
    <row r="414" spans="3:3" ht="21" customHeight="1" x14ac:dyDescent="0.2">
      <c r="C414" s="24"/>
    </row>
    <row r="415" spans="3:3" ht="21" customHeight="1" x14ac:dyDescent="0.2">
      <c r="C415" s="24"/>
    </row>
    <row r="416" spans="3:3" ht="21" customHeight="1" x14ac:dyDescent="0.2">
      <c r="C416" s="24"/>
    </row>
    <row r="417" spans="3:3" ht="21" customHeight="1" x14ac:dyDescent="0.2">
      <c r="C417" s="24"/>
    </row>
    <row r="418" spans="3:3" ht="21" customHeight="1" x14ac:dyDescent="0.2">
      <c r="C418" s="24"/>
    </row>
    <row r="419" spans="3:3" ht="21" customHeight="1" x14ac:dyDescent="0.2">
      <c r="C419" s="24"/>
    </row>
    <row r="420" spans="3:3" ht="21" customHeight="1" x14ac:dyDescent="0.2">
      <c r="C420" s="24"/>
    </row>
    <row r="421" spans="3:3" ht="21" customHeight="1" x14ac:dyDescent="0.2">
      <c r="C421" s="24"/>
    </row>
    <row r="422" spans="3:3" ht="21" customHeight="1" x14ac:dyDescent="0.2">
      <c r="C422" s="24"/>
    </row>
    <row r="423" spans="3:3" ht="21" customHeight="1" x14ac:dyDescent="0.2">
      <c r="C423" s="24"/>
    </row>
    <row r="424" spans="3:3" ht="21" customHeight="1" x14ac:dyDescent="0.2">
      <c r="C424" s="24"/>
    </row>
    <row r="425" spans="3:3" ht="21" customHeight="1" x14ac:dyDescent="0.2">
      <c r="C425" s="24"/>
    </row>
    <row r="426" spans="3:3" ht="21" customHeight="1" x14ac:dyDescent="0.2">
      <c r="C426" s="24"/>
    </row>
    <row r="427" spans="3:3" ht="21" customHeight="1" x14ac:dyDescent="0.2">
      <c r="C427" s="24"/>
    </row>
    <row r="428" spans="3:3" ht="21" customHeight="1" x14ac:dyDescent="0.2">
      <c r="C428" s="24"/>
    </row>
    <row r="429" spans="3:3" ht="21" customHeight="1" x14ac:dyDescent="0.2">
      <c r="C429" s="24"/>
    </row>
    <row r="430" spans="3:3" ht="21" customHeight="1" x14ac:dyDescent="0.2">
      <c r="C430" s="24"/>
    </row>
    <row r="431" spans="3:3" ht="21" customHeight="1" x14ac:dyDescent="0.2">
      <c r="C431" s="24"/>
    </row>
    <row r="432" spans="3:3" ht="21" customHeight="1" x14ac:dyDescent="0.2">
      <c r="C432" s="24"/>
    </row>
    <row r="433" spans="3:3" ht="21" customHeight="1" x14ac:dyDescent="0.2">
      <c r="C433" s="24"/>
    </row>
    <row r="434" spans="3:3" ht="21" customHeight="1" x14ac:dyDescent="0.2">
      <c r="C434" s="24"/>
    </row>
    <row r="435" spans="3:3" ht="21" customHeight="1" x14ac:dyDescent="0.2">
      <c r="C435" s="24"/>
    </row>
    <row r="436" spans="3:3" ht="21" customHeight="1" x14ac:dyDescent="0.2">
      <c r="C436" s="24"/>
    </row>
    <row r="437" spans="3:3" ht="21" customHeight="1" x14ac:dyDescent="0.2">
      <c r="C437" s="24"/>
    </row>
    <row r="438" spans="3:3" ht="21" customHeight="1" x14ac:dyDescent="0.2">
      <c r="C438" s="24"/>
    </row>
    <row r="439" spans="3:3" ht="21" customHeight="1" x14ac:dyDescent="0.2">
      <c r="C439" s="24"/>
    </row>
    <row r="440" spans="3:3" ht="21" customHeight="1" x14ac:dyDescent="0.2">
      <c r="C440" s="24"/>
    </row>
    <row r="441" spans="3:3" ht="21" customHeight="1" x14ac:dyDescent="0.2">
      <c r="C441" s="24"/>
    </row>
    <row r="442" spans="3:3" ht="21" customHeight="1" x14ac:dyDescent="0.2">
      <c r="C442" s="24"/>
    </row>
    <row r="443" spans="3:3" ht="21" customHeight="1" x14ac:dyDescent="0.2">
      <c r="C443" s="24"/>
    </row>
    <row r="444" spans="3:3" ht="21" customHeight="1" x14ac:dyDescent="0.2">
      <c r="C444" s="24"/>
    </row>
    <row r="445" spans="3:3" ht="21" customHeight="1" x14ac:dyDescent="0.2">
      <c r="C445" s="24"/>
    </row>
    <row r="446" spans="3:3" ht="21" customHeight="1" x14ac:dyDescent="0.2">
      <c r="C446" s="24"/>
    </row>
    <row r="447" spans="3:3" ht="21" customHeight="1" x14ac:dyDescent="0.2">
      <c r="C447" s="24"/>
    </row>
    <row r="448" spans="3:3" ht="21" customHeight="1" x14ac:dyDescent="0.2">
      <c r="C448" s="24"/>
    </row>
    <row r="449" spans="3:3" ht="21" customHeight="1" x14ac:dyDescent="0.2">
      <c r="C449" s="24"/>
    </row>
    <row r="450" spans="3:3" ht="21" customHeight="1" x14ac:dyDescent="0.2">
      <c r="C450" s="24"/>
    </row>
    <row r="451" spans="3:3" ht="21" customHeight="1" x14ac:dyDescent="0.2">
      <c r="C451" s="24"/>
    </row>
    <row r="452" spans="3:3" ht="21" customHeight="1" x14ac:dyDescent="0.2">
      <c r="C452" s="24"/>
    </row>
    <row r="453" spans="3:3" ht="21" customHeight="1" x14ac:dyDescent="0.2">
      <c r="C453" s="24"/>
    </row>
    <row r="454" spans="3:3" ht="21" customHeight="1" x14ac:dyDescent="0.2">
      <c r="C454" s="24"/>
    </row>
    <row r="455" spans="3:3" ht="21" customHeight="1" x14ac:dyDescent="0.2">
      <c r="C455" s="24"/>
    </row>
    <row r="456" spans="3:3" ht="21" customHeight="1" x14ac:dyDescent="0.2">
      <c r="C456" s="24"/>
    </row>
    <row r="457" spans="3:3" ht="21" customHeight="1" x14ac:dyDescent="0.2">
      <c r="C457" s="24"/>
    </row>
    <row r="458" spans="3:3" ht="21" customHeight="1" x14ac:dyDescent="0.2">
      <c r="C458" s="24"/>
    </row>
    <row r="459" spans="3:3" ht="21" customHeight="1" x14ac:dyDescent="0.2">
      <c r="C459" s="24"/>
    </row>
    <row r="460" spans="3:3" ht="21" customHeight="1" x14ac:dyDescent="0.2">
      <c r="C460" s="24"/>
    </row>
    <row r="461" spans="3:3" ht="21" customHeight="1" x14ac:dyDescent="0.2">
      <c r="C461" s="24"/>
    </row>
    <row r="462" spans="3:3" ht="21" customHeight="1" x14ac:dyDescent="0.2">
      <c r="C462" s="24"/>
    </row>
    <row r="463" spans="3:3" ht="21" customHeight="1" x14ac:dyDescent="0.2">
      <c r="C463" s="24"/>
    </row>
    <row r="464" spans="3:3" ht="21" customHeight="1" x14ac:dyDescent="0.2">
      <c r="C464" s="24"/>
    </row>
    <row r="465" spans="3:3" ht="21" customHeight="1" x14ac:dyDescent="0.2">
      <c r="C465" s="24"/>
    </row>
    <row r="466" spans="3:3" ht="21" customHeight="1" x14ac:dyDescent="0.2">
      <c r="C466" s="24"/>
    </row>
    <row r="467" spans="3:3" ht="21" customHeight="1" x14ac:dyDescent="0.2">
      <c r="C467" s="24"/>
    </row>
    <row r="468" spans="3:3" ht="21" customHeight="1" x14ac:dyDescent="0.2">
      <c r="C468" s="24"/>
    </row>
    <row r="469" spans="3:3" ht="21" customHeight="1" x14ac:dyDescent="0.2">
      <c r="C469" s="24"/>
    </row>
    <row r="470" spans="3:3" ht="21" customHeight="1" x14ac:dyDescent="0.2">
      <c r="C470" s="24"/>
    </row>
    <row r="471" spans="3:3" ht="21" customHeight="1" x14ac:dyDescent="0.2">
      <c r="C471" s="24"/>
    </row>
    <row r="472" spans="3:3" ht="21" customHeight="1" x14ac:dyDescent="0.2">
      <c r="C472" s="24"/>
    </row>
    <row r="473" spans="3:3" ht="21" customHeight="1" x14ac:dyDescent="0.2">
      <c r="C473" s="24"/>
    </row>
    <row r="474" spans="3:3" ht="21" customHeight="1" x14ac:dyDescent="0.2">
      <c r="C474" s="24"/>
    </row>
    <row r="475" spans="3:3" ht="21" customHeight="1" x14ac:dyDescent="0.2">
      <c r="C475" s="24"/>
    </row>
    <row r="476" spans="3:3" ht="21" customHeight="1" x14ac:dyDescent="0.2">
      <c r="C476" s="24"/>
    </row>
    <row r="477" spans="3:3" ht="21" customHeight="1" x14ac:dyDescent="0.2">
      <c r="C477" s="24"/>
    </row>
    <row r="478" spans="3:3" ht="21" customHeight="1" x14ac:dyDescent="0.2">
      <c r="C478" s="24"/>
    </row>
    <row r="479" spans="3:3" ht="21" customHeight="1" x14ac:dyDescent="0.2">
      <c r="C479" s="24"/>
    </row>
    <row r="480" spans="3:3" ht="21" customHeight="1" x14ac:dyDescent="0.2">
      <c r="C480" s="24"/>
    </row>
    <row r="481" spans="3:3" ht="21" customHeight="1" x14ac:dyDescent="0.2">
      <c r="C481" s="24"/>
    </row>
    <row r="482" spans="3:3" ht="21" customHeight="1" x14ac:dyDescent="0.2">
      <c r="C482" s="24"/>
    </row>
    <row r="483" spans="3:3" ht="21" customHeight="1" x14ac:dyDescent="0.2">
      <c r="C483" s="24"/>
    </row>
    <row r="484" spans="3:3" ht="21" customHeight="1" x14ac:dyDescent="0.2">
      <c r="C484" s="24"/>
    </row>
    <row r="485" spans="3:3" ht="21" customHeight="1" x14ac:dyDescent="0.2">
      <c r="C485" s="24"/>
    </row>
    <row r="486" spans="3:3" ht="21" customHeight="1" x14ac:dyDescent="0.2">
      <c r="C486" s="24"/>
    </row>
    <row r="487" spans="3:3" ht="21" customHeight="1" x14ac:dyDescent="0.2">
      <c r="C487" s="24"/>
    </row>
    <row r="488" spans="3:3" ht="21" customHeight="1" x14ac:dyDescent="0.2">
      <c r="C488" s="24"/>
    </row>
    <row r="489" spans="3:3" ht="21" customHeight="1" x14ac:dyDescent="0.2">
      <c r="C489" s="24"/>
    </row>
    <row r="490" spans="3:3" ht="21" customHeight="1" x14ac:dyDescent="0.2">
      <c r="C490" s="24"/>
    </row>
    <row r="491" spans="3:3" ht="21" customHeight="1" x14ac:dyDescent="0.2">
      <c r="C491" s="24"/>
    </row>
    <row r="492" spans="3:3" ht="21" customHeight="1" x14ac:dyDescent="0.2">
      <c r="C492" s="24"/>
    </row>
    <row r="493" spans="3:3" ht="21" customHeight="1" x14ac:dyDescent="0.2">
      <c r="C493" s="24"/>
    </row>
    <row r="494" spans="3:3" ht="21" customHeight="1" x14ac:dyDescent="0.2">
      <c r="C494" s="24"/>
    </row>
    <row r="495" spans="3:3" ht="21" customHeight="1" x14ac:dyDescent="0.2">
      <c r="C495" s="24"/>
    </row>
    <row r="496" spans="3:3" ht="21" customHeight="1" x14ac:dyDescent="0.2">
      <c r="C496" s="24"/>
    </row>
    <row r="497" spans="3:3" ht="21" customHeight="1" x14ac:dyDescent="0.2">
      <c r="C497" s="24"/>
    </row>
    <row r="498" spans="3:3" ht="21" customHeight="1" x14ac:dyDescent="0.2">
      <c r="C498" s="24"/>
    </row>
    <row r="499" spans="3:3" ht="21" customHeight="1" x14ac:dyDescent="0.2">
      <c r="C499" s="24"/>
    </row>
    <row r="500" spans="3:3" ht="21" customHeight="1" x14ac:dyDescent="0.2">
      <c r="C500" s="24"/>
    </row>
    <row r="501" spans="3:3" ht="21" customHeight="1" x14ac:dyDescent="0.2">
      <c r="C501" s="24"/>
    </row>
    <row r="502" spans="3:3" ht="21" customHeight="1" x14ac:dyDescent="0.2">
      <c r="C502" s="24"/>
    </row>
    <row r="503" spans="3:3" ht="21" customHeight="1" x14ac:dyDescent="0.2">
      <c r="C503" s="24"/>
    </row>
    <row r="504" spans="3:3" ht="21" customHeight="1" x14ac:dyDescent="0.2">
      <c r="C504" s="24"/>
    </row>
    <row r="505" spans="3:3" ht="21" customHeight="1" x14ac:dyDescent="0.2">
      <c r="C505" s="24"/>
    </row>
    <row r="506" spans="3:3" ht="21" customHeight="1" x14ac:dyDescent="0.2">
      <c r="C506" s="24"/>
    </row>
    <row r="507" spans="3:3" ht="21" customHeight="1" x14ac:dyDescent="0.2">
      <c r="C507" s="24"/>
    </row>
    <row r="508" spans="3:3" ht="21" customHeight="1" x14ac:dyDescent="0.2">
      <c r="C508" s="24"/>
    </row>
    <row r="509" spans="3:3" ht="21" customHeight="1" x14ac:dyDescent="0.2">
      <c r="C509" s="24"/>
    </row>
    <row r="510" spans="3:3" ht="21" customHeight="1" x14ac:dyDescent="0.2">
      <c r="C510" s="24"/>
    </row>
    <row r="511" spans="3:3" ht="21" customHeight="1" x14ac:dyDescent="0.2">
      <c r="C511" s="24"/>
    </row>
    <row r="512" spans="3:3" ht="21" customHeight="1" x14ac:dyDescent="0.2">
      <c r="C512" s="24"/>
    </row>
    <row r="513" spans="3:3" ht="21" customHeight="1" x14ac:dyDescent="0.2">
      <c r="C513" s="24"/>
    </row>
    <row r="514" spans="3:3" ht="21" customHeight="1" x14ac:dyDescent="0.2">
      <c r="C514" s="24"/>
    </row>
    <row r="515" spans="3:3" ht="21" customHeight="1" x14ac:dyDescent="0.2">
      <c r="C515" s="24"/>
    </row>
    <row r="516" spans="3:3" ht="21" customHeight="1" x14ac:dyDescent="0.2">
      <c r="C516" s="24"/>
    </row>
    <row r="517" spans="3:3" ht="21" customHeight="1" x14ac:dyDescent="0.2">
      <c r="C517" s="24"/>
    </row>
    <row r="518" spans="3:3" ht="21" customHeight="1" x14ac:dyDescent="0.2">
      <c r="C518" s="24"/>
    </row>
    <row r="519" spans="3:3" ht="21" customHeight="1" x14ac:dyDescent="0.2">
      <c r="C519" s="24"/>
    </row>
    <row r="520" spans="3:3" ht="21" customHeight="1" x14ac:dyDescent="0.2">
      <c r="C520" s="24"/>
    </row>
    <row r="521" spans="3:3" ht="21" customHeight="1" x14ac:dyDescent="0.2">
      <c r="C521" s="24"/>
    </row>
    <row r="522" spans="3:3" ht="21" customHeight="1" x14ac:dyDescent="0.2">
      <c r="C522" s="24"/>
    </row>
    <row r="523" spans="3:3" ht="21" customHeight="1" x14ac:dyDescent="0.2">
      <c r="C523" s="24"/>
    </row>
    <row r="524" spans="3:3" ht="21" customHeight="1" x14ac:dyDescent="0.2">
      <c r="C524" s="24"/>
    </row>
    <row r="525" spans="3:3" ht="21" customHeight="1" x14ac:dyDescent="0.2">
      <c r="C525" s="24"/>
    </row>
    <row r="526" spans="3:3" ht="21" customHeight="1" x14ac:dyDescent="0.2">
      <c r="C526" s="24"/>
    </row>
    <row r="527" spans="3:3" ht="21" customHeight="1" x14ac:dyDescent="0.2">
      <c r="C527" s="24"/>
    </row>
    <row r="528" spans="3:3" ht="21" customHeight="1" x14ac:dyDescent="0.2">
      <c r="C528" s="24"/>
    </row>
    <row r="529" spans="3:3" ht="21" customHeight="1" x14ac:dyDescent="0.2">
      <c r="C529" s="24"/>
    </row>
    <row r="530" spans="3:3" ht="21" customHeight="1" x14ac:dyDescent="0.2">
      <c r="C530" s="24"/>
    </row>
    <row r="531" spans="3:3" ht="21" customHeight="1" x14ac:dyDescent="0.2">
      <c r="C531" s="24"/>
    </row>
    <row r="532" spans="3:3" ht="21" customHeight="1" x14ac:dyDescent="0.2">
      <c r="C532" s="24"/>
    </row>
    <row r="533" spans="3:3" ht="21" customHeight="1" x14ac:dyDescent="0.2">
      <c r="C533" s="24"/>
    </row>
    <row r="534" spans="3:3" ht="21" customHeight="1" x14ac:dyDescent="0.2">
      <c r="C534" s="24"/>
    </row>
    <row r="535" spans="3:3" ht="21" customHeight="1" x14ac:dyDescent="0.2">
      <c r="C535" s="24"/>
    </row>
    <row r="536" spans="3:3" ht="21" customHeight="1" x14ac:dyDescent="0.2">
      <c r="C536" s="24"/>
    </row>
    <row r="537" spans="3:3" ht="21" customHeight="1" x14ac:dyDescent="0.2">
      <c r="C537" s="24"/>
    </row>
    <row r="538" spans="3:3" ht="21" customHeight="1" x14ac:dyDescent="0.2">
      <c r="C538" s="24"/>
    </row>
    <row r="539" spans="3:3" ht="21" customHeight="1" x14ac:dyDescent="0.2">
      <c r="C539" s="24"/>
    </row>
    <row r="540" spans="3:3" ht="21" customHeight="1" x14ac:dyDescent="0.2">
      <c r="C540" s="24"/>
    </row>
    <row r="541" spans="3:3" ht="21" customHeight="1" x14ac:dyDescent="0.2">
      <c r="C541" s="24"/>
    </row>
    <row r="542" spans="3:3" ht="21" customHeight="1" x14ac:dyDescent="0.2">
      <c r="C542" s="24"/>
    </row>
    <row r="543" spans="3:3" ht="21" customHeight="1" x14ac:dyDescent="0.2">
      <c r="C543" s="24"/>
    </row>
    <row r="544" spans="3:3" ht="21" customHeight="1" x14ac:dyDescent="0.2">
      <c r="C544" s="24"/>
    </row>
    <row r="545" spans="3:3" ht="21" customHeight="1" x14ac:dyDescent="0.2">
      <c r="C545" s="24"/>
    </row>
    <row r="546" spans="3:3" ht="21" customHeight="1" x14ac:dyDescent="0.2">
      <c r="C546" s="24"/>
    </row>
    <row r="547" spans="3:3" ht="21" customHeight="1" x14ac:dyDescent="0.2">
      <c r="C547" s="24"/>
    </row>
    <row r="548" spans="3:3" ht="21" customHeight="1" x14ac:dyDescent="0.2">
      <c r="C548" s="24"/>
    </row>
    <row r="549" spans="3:3" ht="21" customHeight="1" x14ac:dyDescent="0.2">
      <c r="C549" s="24"/>
    </row>
    <row r="550" spans="3:3" ht="21" customHeight="1" x14ac:dyDescent="0.2">
      <c r="C550" s="24"/>
    </row>
    <row r="551" spans="3:3" ht="21" customHeight="1" x14ac:dyDescent="0.2">
      <c r="C551" s="24"/>
    </row>
    <row r="552" spans="3:3" ht="21" customHeight="1" x14ac:dyDescent="0.2">
      <c r="C552" s="24"/>
    </row>
    <row r="553" spans="3:3" ht="21" customHeight="1" x14ac:dyDescent="0.2">
      <c r="C553" s="24"/>
    </row>
    <row r="554" spans="3:3" ht="21" customHeight="1" x14ac:dyDescent="0.2">
      <c r="C554" s="24"/>
    </row>
    <row r="555" spans="3:3" ht="21" customHeight="1" x14ac:dyDescent="0.2">
      <c r="C555" s="24"/>
    </row>
    <row r="556" spans="3:3" ht="21" customHeight="1" x14ac:dyDescent="0.2">
      <c r="C556" s="24"/>
    </row>
    <row r="557" spans="3:3" ht="21" customHeight="1" x14ac:dyDescent="0.2">
      <c r="C557" s="24"/>
    </row>
    <row r="558" spans="3:3" ht="21" customHeight="1" x14ac:dyDescent="0.2">
      <c r="C558" s="24"/>
    </row>
    <row r="559" spans="3:3" ht="21" customHeight="1" x14ac:dyDescent="0.2">
      <c r="C559" s="24"/>
    </row>
    <row r="560" spans="3:3" ht="21" customHeight="1" x14ac:dyDescent="0.2">
      <c r="C560" s="24"/>
    </row>
    <row r="561" spans="3:3" ht="21" customHeight="1" x14ac:dyDescent="0.2">
      <c r="C561" s="24"/>
    </row>
    <row r="562" spans="3:3" ht="21" customHeight="1" x14ac:dyDescent="0.2">
      <c r="C562" s="24"/>
    </row>
    <row r="563" spans="3:3" ht="21" customHeight="1" x14ac:dyDescent="0.2">
      <c r="C563" s="24"/>
    </row>
    <row r="564" spans="3:3" ht="21" customHeight="1" x14ac:dyDescent="0.2">
      <c r="C564" s="24"/>
    </row>
    <row r="565" spans="3:3" ht="21" customHeight="1" x14ac:dyDescent="0.2">
      <c r="C565" s="24"/>
    </row>
    <row r="566" spans="3:3" ht="21" customHeight="1" x14ac:dyDescent="0.2">
      <c r="C566" s="24"/>
    </row>
    <row r="567" spans="3:3" ht="21" customHeight="1" x14ac:dyDescent="0.2">
      <c r="C567" s="24"/>
    </row>
    <row r="568" spans="3:3" ht="21" customHeight="1" x14ac:dyDescent="0.2">
      <c r="C568" s="24"/>
    </row>
    <row r="569" spans="3:3" ht="21" customHeight="1" x14ac:dyDescent="0.2">
      <c r="C569" s="24"/>
    </row>
    <row r="570" spans="3:3" ht="21" customHeight="1" x14ac:dyDescent="0.2">
      <c r="C570" s="24"/>
    </row>
    <row r="571" spans="3:3" ht="21" customHeight="1" x14ac:dyDescent="0.2">
      <c r="C571" s="24"/>
    </row>
    <row r="572" spans="3:3" ht="21" customHeight="1" x14ac:dyDescent="0.2">
      <c r="C572" s="24"/>
    </row>
    <row r="573" spans="3:3" ht="21" customHeight="1" x14ac:dyDescent="0.2">
      <c r="C573" s="24"/>
    </row>
    <row r="574" spans="3:3" ht="21" customHeight="1" x14ac:dyDescent="0.2">
      <c r="C574" s="24"/>
    </row>
    <row r="575" spans="3:3" ht="21" customHeight="1" x14ac:dyDescent="0.2">
      <c r="C575" s="24"/>
    </row>
    <row r="576" spans="3:3" ht="21" customHeight="1" x14ac:dyDescent="0.2">
      <c r="C576" s="24"/>
    </row>
    <row r="577" spans="3:3" ht="21" customHeight="1" x14ac:dyDescent="0.2">
      <c r="C577" s="24"/>
    </row>
    <row r="578" spans="3:3" ht="21" customHeight="1" x14ac:dyDescent="0.2">
      <c r="C578" s="24"/>
    </row>
    <row r="579" spans="3:3" ht="21" customHeight="1" x14ac:dyDescent="0.2">
      <c r="C579" s="24"/>
    </row>
    <row r="580" spans="3:3" ht="21" customHeight="1" x14ac:dyDescent="0.2">
      <c r="C580" s="24"/>
    </row>
    <row r="581" spans="3:3" ht="21" customHeight="1" x14ac:dyDescent="0.2">
      <c r="C581" s="24"/>
    </row>
    <row r="582" spans="3:3" ht="21" customHeight="1" x14ac:dyDescent="0.2">
      <c r="C582" s="24"/>
    </row>
    <row r="583" spans="3:3" ht="21" customHeight="1" x14ac:dyDescent="0.2">
      <c r="C583" s="24"/>
    </row>
    <row r="584" spans="3:3" ht="21" customHeight="1" x14ac:dyDescent="0.2">
      <c r="C584" s="24"/>
    </row>
    <row r="585" spans="3:3" ht="21" customHeight="1" x14ac:dyDescent="0.2">
      <c r="C585" s="24"/>
    </row>
    <row r="586" spans="3:3" ht="21" customHeight="1" x14ac:dyDescent="0.2">
      <c r="C586" s="24"/>
    </row>
    <row r="587" spans="3:3" ht="21" customHeight="1" x14ac:dyDescent="0.2">
      <c r="C587" s="24"/>
    </row>
    <row r="588" spans="3:3" ht="21" customHeight="1" x14ac:dyDescent="0.2">
      <c r="C588" s="24"/>
    </row>
    <row r="589" spans="3:3" ht="21" customHeight="1" x14ac:dyDescent="0.2">
      <c r="C589" s="24"/>
    </row>
    <row r="590" spans="3:3" ht="21" customHeight="1" x14ac:dyDescent="0.2">
      <c r="C590" s="24"/>
    </row>
    <row r="591" spans="3:3" ht="21" customHeight="1" x14ac:dyDescent="0.2">
      <c r="C591" s="24"/>
    </row>
    <row r="592" spans="3:3" ht="21" customHeight="1" x14ac:dyDescent="0.2">
      <c r="C592" s="24"/>
    </row>
    <row r="593" spans="3:3" ht="21" customHeight="1" x14ac:dyDescent="0.2">
      <c r="C593" s="24"/>
    </row>
    <row r="594" spans="3:3" ht="21" customHeight="1" x14ac:dyDescent="0.2">
      <c r="C594" s="24"/>
    </row>
    <row r="595" spans="3:3" ht="21" customHeight="1" x14ac:dyDescent="0.2">
      <c r="C595" s="24"/>
    </row>
    <row r="596" spans="3:3" ht="21" customHeight="1" x14ac:dyDescent="0.2">
      <c r="C596" s="24"/>
    </row>
    <row r="597" spans="3:3" ht="21" customHeight="1" x14ac:dyDescent="0.2">
      <c r="C597" s="24"/>
    </row>
    <row r="598" spans="3:3" ht="21" customHeight="1" x14ac:dyDescent="0.2">
      <c r="C598" s="24"/>
    </row>
    <row r="599" spans="3:3" ht="21" customHeight="1" x14ac:dyDescent="0.2">
      <c r="C599" s="24"/>
    </row>
    <row r="600" spans="3:3" ht="21" customHeight="1" x14ac:dyDescent="0.2">
      <c r="C600" s="24"/>
    </row>
    <row r="601" spans="3:3" ht="21" customHeight="1" x14ac:dyDescent="0.2">
      <c r="C601" s="24"/>
    </row>
    <row r="602" spans="3:3" ht="21" customHeight="1" x14ac:dyDescent="0.2">
      <c r="C602" s="24"/>
    </row>
    <row r="603" spans="3:3" ht="21" customHeight="1" x14ac:dyDescent="0.2">
      <c r="C603" s="24"/>
    </row>
    <row r="604" spans="3:3" ht="21" customHeight="1" x14ac:dyDescent="0.2">
      <c r="C604" s="24"/>
    </row>
    <row r="605" spans="3:3" ht="21" customHeight="1" x14ac:dyDescent="0.2">
      <c r="C605" s="24"/>
    </row>
    <row r="606" spans="3:3" ht="21" customHeight="1" x14ac:dyDescent="0.2">
      <c r="C606" s="24"/>
    </row>
    <row r="607" spans="3:3" ht="21" customHeight="1" x14ac:dyDescent="0.2">
      <c r="C607" s="24"/>
    </row>
    <row r="608" spans="3:3" ht="21" customHeight="1" x14ac:dyDescent="0.2">
      <c r="C608" s="24"/>
    </row>
    <row r="609" spans="3:3" ht="21" customHeight="1" x14ac:dyDescent="0.2">
      <c r="C609" s="24"/>
    </row>
    <row r="610" spans="3:3" ht="21" customHeight="1" x14ac:dyDescent="0.2">
      <c r="C610" s="24"/>
    </row>
    <row r="611" spans="3:3" ht="21" customHeight="1" x14ac:dyDescent="0.2">
      <c r="C611" s="24"/>
    </row>
    <row r="612" spans="3:3" ht="21" customHeight="1" x14ac:dyDescent="0.2">
      <c r="C612" s="24"/>
    </row>
    <row r="613" spans="3:3" ht="21" customHeight="1" x14ac:dyDescent="0.2">
      <c r="C613" s="24"/>
    </row>
    <row r="614" spans="3:3" ht="21" customHeight="1" x14ac:dyDescent="0.2">
      <c r="C614" s="24"/>
    </row>
    <row r="615" spans="3:3" ht="21" customHeight="1" x14ac:dyDescent="0.2">
      <c r="C615" s="24"/>
    </row>
    <row r="616" spans="3:3" ht="21" customHeight="1" x14ac:dyDescent="0.2">
      <c r="C616" s="24"/>
    </row>
    <row r="617" spans="3:3" ht="21" customHeight="1" x14ac:dyDescent="0.2">
      <c r="C617" s="24"/>
    </row>
    <row r="618" spans="3:3" ht="21" customHeight="1" x14ac:dyDescent="0.2">
      <c r="C618" s="24"/>
    </row>
    <row r="619" spans="3:3" ht="21" customHeight="1" x14ac:dyDescent="0.2">
      <c r="C619" s="24"/>
    </row>
    <row r="620" spans="3:3" ht="21" customHeight="1" x14ac:dyDescent="0.2">
      <c r="C620" s="24"/>
    </row>
    <row r="621" spans="3:3" ht="21" customHeight="1" x14ac:dyDescent="0.2">
      <c r="C621" s="24"/>
    </row>
    <row r="622" spans="3:3" ht="21" customHeight="1" x14ac:dyDescent="0.2">
      <c r="C622" s="24"/>
    </row>
    <row r="623" spans="3:3" ht="21" customHeight="1" x14ac:dyDescent="0.2">
      <c r="C623" s="24"/>
    </row>
    <row r="624" spans="3:3" ht="21" customHeight="1" x14ac:dyDescent="0.2">
      <c r="C624" s="24"/>
    </row>
    <row r="625" spans="3:3" ht="21" customHeight="1" x14ac:dyDescent="0.2">
      <c r="C625" s="24"/>
    </row>
    <row r="626" spans="3:3" ht="21" customHeight="1" x14ac:dyDescent="0.2">
      <c r="C626" s="24"/>
    </row>
    <row r="627" spans="3:3" ht="21" customHeight="1" x14ac:dyDescent="0.2">
      <c r="C627" s="24"/>
    </row>
    <row r="628" spans="3:3" ht="21" customHeight="1" x14ac:dyDescent="0.2">
      <c r="C628" s="24"/>
    </row>
    <row r="629" spans="3:3" ht="21" customHeight="1" x14ac:dyDescent="0.2">
      <c r="C629" s="24"/>
    </row>
    <row r="630" spans="3:3" ht="21" customHeight="1" x14ac:dyDescent="0.2">
      <c r="C630" s="24"/>
    </row>
    <row r="631" spans="3:3" ht="21" customHeight="1" x14ac:dyDescent="0.2">
      <c r="C631" s="24"/>
    </row>
    <row r="632" spans="3:3" ht="21" customHeight="1" x14ac:dyDescent="0.2">
      <c r="C632" s="24"/>
    </row>
    <row r="633" spans="3:3" ht="21" customHeight="1" x14ac:dyDescent="0.2">
      <c r="C633" s="24"/>
    </row>
    <row r="634" spans="3:3" ht="21" customHeight="1" x14ac:dyDescent="0.2">
      <c r="C634" s="24"/>
    </row>
    <row r="635" spans="3:3" ht="21" customHeight="1" x14ac:dyDescent="0.2">
      <c r="C635" s="24"/>
    </row>
    <row r="636" spans="3:3" ht="21" customHeight="1" x14ac:dyDescent="0.2">
      <c r="C636" s="24"/>
    </row>
    <row r="637" spans="3:3" ht="21" customHeight="1" x14ac:dyDescent="0.2">
      <c r="C637" s="24"/>
    </row>
    <row r="638" spans="3:3" ht="21" customHeight="1" x14ac:dyDescent="0.2">
      <c r="C638" s="24"/>
    </row>
    <row r="639" spans="3:3" ht="21" customHeight="1" x14ac:dyDescent="0.2">
      <c r="C639" s="24"/>
    </row>
    <row r="640" spans="3:3" ht="21" customHeight="1" x14ac:dyDescent="0.2">
      <c r="C640" s="24"/>
    </row>
    <row r="641" spans="3:3" ht="21" customHeight="1" x14ac:dyDescent="0.2">
      <c r="C641" s="24"/>
    </row>
    <row r="642" spans="3:3" ht="21" customHeight="1" x14ac:dyDescent="0.2">
      <c r="C642" s="24"/>
    </row>
    <row r="643" spans="3:3" ht="21" customHeight="1" x14ac:dyDescent="0.2">
      <c r="C643" s="24"/>
    </row>
    <row r="644" spans="3:3" ht="21" customHeight="1" x14ac:dyDescent="0.2">
      <c r="C644" s="24"/>
    </row>
    <row r="645" spans="3:3" ht="21" customHeight="1" x14ac:dyDescent="0.2">
      <c r="C645" s="24"/>
    </row>
    <row r="646" spans="3:3" ht="21" customHeight="1" x14ac:dyDescent="0.2">
      <c r="C646" s="24"/>
    </row>
    <row r="647" spans="3:3" ht="21" customHeight="1" x14ac:dyDescent="0.2">
      <c r="C647" s="24"/>
    </row>
    <row r="648" spans="3:3" ht="21" customHeight="1" x14ac:dyDescent="0.2">
      <c r="C648" s="24"/>
    </row>
    <row r="649" spans="3:3" ht="21" customHeight="1" x14ac:dyDescent="0.2">
      <c r="C649" s="24"/>
    </row>
    <row r="650" spans="3:3" ht="21" customHeight="1" x14ac:dyDescent="0.2">
      <c r="C650" s="24"/>
    </row>
    <row r="651" spans="3:3" ht="21" customHeight="1" x14ac:dyDescent="0.2">
      <c r="C651" s="24"/>
    </row>
    <row r="652" spans="3:3" ht="21" customHeight="1" x14ac:dyDescent="0.2">
      <c r="C652" s="24"/>
    </row>
    <row r="653" spans="3:3" ht="21" customHeight="1" x14ac:dyDescent="0.2">
      <c r="C653" s="24"/>
    </row>
    <row r="654" spans="3:3" ht="21" customHeight="1" x14ac:dyDescent="0.2">
      <c r="C654" s="24"/>
    </row>
    <row r="655" spans="3:3" ht="21" customHeight="1" x14ac:dyDescent="0.2">
      <c r="C655" s="24"/>
    </row>
    <row r="656" spans="3:3" ht="21" customHeight="1" x14ac:dyDescent="0.2">
      <c r="C656" s="24"/>
    </row>
    <row r="657" spans="3:3" ht="21" customHeight="1" x14ac:dyDescent="0.2">
      <c r="C657" s="24"/>
    </row>
    <row r="658" spans="3:3" ht="21" customHeight="1" x14ac:dyDescent="0.2">
      <c r="C658" s="24"/>
    </row>
    <row r="659" spans="3:3" ht="21" customHeight="1" x14ac:dyDescent="0.2">
      <c r="C659" s="24"/>
    </row>
    <row r="660" spans="3:3" ht="21" customHeight="1" x14ac:dyDescent="0.2">
      <c r="C660" s="24"/>
    </row>
    <row r="661" spans="3:3" ht="21" customHeight="1" x14ac:dyDescent="0.2">
      <c r="C661" s="24"/>
    </row>
    <row r="662" spans="3:3" ht="21" customHeight="1" x14ac:dyDescent="0.2">
      <c r="C662" s="24"/>
    </row>
    <row r="663" spans="3:3" ht="21" customHeight="1" x14ac:dyDescent="0.2">
      <c r="C663" s="24"/>
    </row>
    <row r="664" spans="3:3" ht="21" customHeight="1" x14ac:dyDescent="0.2">
      <c r="C664" s="24"/>
    </row>
    <row r="665" spans="3:3" ht="21" customHeight="1" x14ac:dyDescent="0.2">
      <c r="C665" s="24"/>
    </row>
    <row r="666" spans="3:3" ht="21" customHeight="1" x14ac:dyDescent="0.2">
      <c r="C666" s="24"/>
    </row>
    <row r="667" spans="3:3" ht="21" customHeight="1" x14ac:dyDescent="0.2">
      <c r="C667" s="24"/>
    </row>
    <row r="668" spans="3:3" ht="21" customHeight="1" x14ac:dyDescent="0.2">
      <c r="C668" s="24"/>
    </row>
    <row r="669" spans="3:3" ht="21" customHeight="1" x14ac:dyDescent="0.2">
      <c r="C669" s="24"/>
    </row>
    <row r="670" spans="3:3" ht="21" customHeight="1" x14ac:dyDescent="0.2">
      <c r="C670" s="24"/>
    </row>
    <row r="671" spans="3:3" ht="21" customHeight="1" x14ac:dyDescent="0.2">
      <c r="C671" s="24"/>
    </row>
    <row r="672" spans="3:3" ht="21" customHeight="1" x14ac:dyDescent="0.2">
      <c r="C672" s="24"/>
    </row>
    <row r="673" spans="3:3" ht="21" customHeight="1" x14ac:dyDescent="0.2">
      <c r="C673" s="24"/>
    </row>
    <row r="674" spans="3:3" ht="21" customHeight="1" x14ac:dyDescent="0.2">
      <c r="C674" s="24"/>
    </row>
    <row r="675" spans="3:3" ht="21" customHeight="1" x14ac:dyDescent="0.2">
      <c r="C675" s="24"/>
    </row>
    <row r="676" spans="3:3" ht="21" customHeight="1" x14ac:dyDescent="0.2">
      <c r="C676" s="24"/>
    </row>
    <row r="677" spans="3:3" ht="21" customHeight="1" x14ac:dyDescent="0.2">
      <c r="C677" s="24"/>
    </row>
    <row r="678" spans="3:3" ht="21" customHeight="1" x14ac:dyDescent="0.2">
      <c r="C678" s="24"/>
    </row>
    <row r="679" spans="3:3" ht="21" customHeight="1" x14ac:dyDescent="0.2">
      <c r="C679" s="24"/>
    </row>
    <row r="680" spans="3:3" ht="21" customHeight="1" x14ac:dyDescent="0.2">
      <c r="C680" s="24"/>
    </row>
    <row r="681" spans="3:3" ht="21" customHeight="1" x14ac:dyDescent="0.2">
      <c r="C681" s="24"/>
    </row>
    <row r="682" spans="3:3" ht="21" customHeight="1" x14ac:dyDescent="0.2">
      <c r="C682" s="24"/>
    </row>
    <row r="683" spans="3:3" ht="21" customHeight="1" x14ac:dyDescent="0.2">
      <c r="C683" s="24"/>
    </row>
    <row r="684" spans="3:3" ht="21" customHeight="1" x14ac:dyDescent="0.2">
      <c r="C684" s="24"/>
    </row>
    <row r="685" spans="3:3" ht="21" customHeight="1" x14ac:dyDescent="0.2">
      <c r="C685" s="24"/>
    </row>
    <row r="686" spans="3:3" ht="21" customHeight="1" x14ac:dyDescent="0.2">
      <c r="C686" s="24"/>
    </row>
    <row r="687" spans="3:3" ht="21" customHeight="1" x14ac:dyDescent="0.2">
      <c r="C687" s="24"/>
    </row>
    <row r="688" spans="3:3" ht="21" customHeight="1" x14ac:dyDescent="0.2">
      <c r="C688" s="24"/>
    </row>
    <row r="689" spans="3:3" ht="21" customHeight="1" x14ac:dyDescent="0.2">
      <c r="C689" s="24"/>
    </row>
    <row r="690" spans="3:3" ht="21" customHeight="1" x14ac:dyDescent="0.2">
      <c r="C690" s="24"/>
    </row>
    <row r="691" spans="3:3" ht="21" customHeight="1" x14ac:dyDescent="0.2">
      <c r="C691" s="24"/>
    </row>
    <row r="692" spans="3:3" ht="21" customHeight="1" x14ac:dyDescent="0.2">
      <c r="C692" s="24"/>
    </row>
    <row r="693" spans="3:3" ht="21" customHeight="1" x14ac:dyDescent="0.2">
      <c r="C693" s="24"/>
    </row>
    <row r="694" spans="3:3" ht="21" customHeight="1" x14ac:dyDescent="0.2">
      <c r="C694" s="24"/>
    </row>
    <row r="695" spans="3:3" ht="21" customHeight="1" x14ac:dyDescent="0.2">
      <c r="C695" s="24"/>
    </row>
    <row r="696" spans="3:3" ht="21" customHeight="1" x14ac:dyDescent="0.2">
      <c r="C696" s="24"/>
    </row>
    <row r="697" spans="3:3" ht="21" customHeight="1" x14ac:dyDescent="0.2">
      <c r="C697" s="24"/>
    </row>
    <row r="698" spans="3:3" ht="21" customHeight="1" x14ac:dyDescent="0.2">
      <c r="C698" s="24"/>
    </row>
    <row r="699" spans="3:3" ht="21" customHeight="1" x14ac:dyDescent="0.2">
      <c r="C699" s="24"/>
    </row>
    <row r="700" spans="3:3" ht="21" customHeight="1" x14ac:dyDescent="0.2">
      <c r="C700" s="24"/>
    </row>
    <row r="701" spans="3:3" ht="21" customHeight="1" x14ac:dyDescent="0.2">
      <c r="C701" s="24"/>
    </row>
    <row r="702" spans="3:3" ht="21" customHeight="1" x14ac:dyDescent="0.2">
      <c r="C702" s="24"/>
    </row>
    <row r="703" spans="3:3" ht="21" customHeight="1" x14ac:dyDescent="0.2">
      <c r="C703" s="24"/>
    </row>
    <row r="704" spans="3:3" ht="21" customHeight="1" x14ac:dyDescent="0.2">
      <c r="C704" s="24"/>
    </row>
    <row r="705" spans="3:3" ht="21" customHeight="1" x14ac:dyDescent="0.2">
      <c r="C705" s="24"/>
    </row>
    <row r="706" spans="3:3" ht="21" customHeight="1" x14ac:dyDescent="0.2">
      <c r="C706" s="24"/>
    </row>
    <row r="707" spans="3:3" ht="21" customHeight="1" x14ac:dyDescent="0.2">
      <c r="C707" s="24"/>
    </row>
    <row r="708" spans="3:3" ht="21" customHeight="1" x14ac:dyDescent="0.2">
      <c r="C708" s="24"/>
    </row>
    <row r="709" spans="3:3" ht="21" customHeight="1" x14ac:dyDescent="0.2">
      <c r="C709" s="24"/>
    </row>
    <row r="710" spans="3:3" ht="21" customHeight="1" x14ac:dyDescent="0.2">
      <c r="C710" s="24"/>
    </row>
    <row r="711" spans="3:3" ht="21" customHeight="1" x14ac:dyDescent="0.2">
      <c r="C711" s="24"/>
    </row>
    <row r="712" spans="3:3" ht="21" customHeight="1" x14ac:dyDescent="0.2">
      <c r="C712" s="24"/>
    </row>
    <row r="713" spans="3:3" ht="21" customHeight="1" x14ac:dyDescent="0.2">
      <c r="C713" s="24"/>
    </row>
    <row r="714" spans="3:3" ht="21" customHeight="1" x14ac:dyDescent="0.2">
      <c r="C714" s="24"/>
    </row>
    <row r="715" spans="3:3" ht="21" customHeight="1" x14ac:dyDescent="0.2">
      <c r="C715" s="24"/>
    </row>
    <row r="716" spans="3:3" ht="21" customHeight="1" x14ac:dyDescent="0.2">
      <c r="C716" s="24"/>
    </row>
    <row r="717" spans="3:3" ht="21" customHeight="1" x14ac:dyDescent="0.2">
      <c r="C717" s="24"/>
    </row>
    <row r="718" spans="3:3" ht="21" customHeight="1" x14ac:dyDescent="0.2">
      <c r="C718" s="24"/>
    </row>
    <row r="719" spans="3:3" ht="21" customHeight="1" x14ac:dyDescent="0.2">
      <c r="C719" s="24"/>
    </row>
    <row r="720" spans="3:3" ht="21" customHeight="1" x14ac:dyDescent="0.2">
      <c r="C720" s="24"/>
    </row>
    <row r="721" spans="3:3" ht="21" customHeight="1" x14ac:dyDescent="0.2">
      <c r="C721" s="24"/>
    </row>
    <row r="722" spans="3:3" ht="21" customHeight="1" x14ac:dyDescent="0.2">
      <c r="C722" s="24"/>
    </row>
    <row r="723" spans="3:3" ht="21" customHeight="1" x14ac:dyDescent="0.2">
      <c r="C723" s="24"/>
    </row>
    <row r="724" spans="3:3" ht="21" customHeight="1" x14ac:dyDescent="0.2">
      <c r="C724" s="24"/>
    </row>
    <row r="725" spans="3:3" ht="21" customHeight="1" x14ac:dyDescent="0.2">
      <c r="C725" s="24"/>
    </row>
    <row r="726" spans="3:3" ht="21" customHeight="1" x14ac:dyDescent="0.2">
      <c r="C726" s="24"/>
    </row>
    <row r="727" spans="3:3" ht="21" customHeight="1" x14ac:dyDescent="0.2">
      <c r="C727" s="24"/>
    </row>
    <row r="728" spans="3:3" ht="21" customHeight="1" x14ac:dyDescent="0.2">
      <c r="C728" s="24"/>
    </row>
    <row r="729" spans="3:3" ht="21" customHeight="1" x14ac:dyDescent="0.2">
      <c r="C729" s="24"/>
    </row>
    <row r="730" spans="3:3" ht="21" customHeight="1" x14ac:dyDescent="0.2">
      <c r="C730" s="24"/>
    </row>
    <row r="731" spans="3:3" ht="21" customHeight="1" x14ac:dyDescent="0.2">
      <c r="C731" s="24"/>
    </row>
    <row r="732" spans="3:3" ht="21" customHeight="1" x14ac:dyDescent="0.2">
      <c r="C732" s="24"/>
    </row>
    <row r="733" spans="3:3" ht="21" customHeight="1" x14ac:dyDescent="0.2">
      <c r="C733" s="24"/>
    </row>
    <row r="734" spans="3:3" ht="21" customHeight="1" x14ac:dyDescent="0.2">
      <c r="C734" s="24"/>
    </row>
    <row r="735" spans="3:3" ht="21" customHeight="1" x14ac:dyDescent="0.2">
      <c r="C735" s="24"/>
    </row>
    <row r="736" spans="3:3" ht="21" customHeight="1" x14ac:dyDescent="0.2">
      <c r="C736" s="24"/>
    </row>
    <row r="737" spans="3:3" ht="21" customHeight="1" x14ac:dyDescent="0.2">
      <c r="C737" s="24"/>
    </row>
    <row r="738" spans="3:3" ht="21" customHeight="1" x14ac:dyDescent="0.2">
      <c r="C738" s="24"/>
    </row>
    <row r="739" spans="3:3" ht="21" customHeight="1" x14ac:dyDescent="0.2">
      <c r="C739" s="24"/>
    </row>
    <row r="740" spans="3:3" ht="21" customHeight="1" x14ac:dyDescent="0.2">
      <c r="C740" s="24"/>
    </row>
    <row r="741" spans="3:3" ht="21" customHeight="1" x14ac:dyDescent="0.2">
      <c r="C741" s="24"/>
    </row>
    <row r="742" spans="3:3" ht="21" customHeight="1" x14ac:dyDescent="0.2">
      <c r="C742" s="24"/>
    </row>
    <row r="743" spans="3:3" ht="21" customHeight="1" x14ac:dyDescent="0.2">
      <c r="C743" s="24"/>
    </row>
    <row r="744" spans="3:3" ht="21" customHeight="1" x14ac:dyDescent="0.2">
      <c r="C744" s="24"/>
    </row>
    <row r="745" spans="3:3" ht="21" customHeight="1" x14ac:dyDescent="0.2">
      <c r="C745" s="24"/>
    </row>
    <row r="746" spans="3:3" ht="21" customHeight="1" x14ac:dyDescent="0.2">
      <c r="C746" s="24"/>
    </row>
    <row r="747" spans="3:3" ht="21" customHeight="1" x14ac:dyDescent="0.2">
      <c r="C747" s="24"/>
    </row>
    <row r="748" spans="3:3" ht="21" customHeight="1" x14ac:dyDescent="0.2">
      <c r="C748" s="24"/>
    </row>
    <row r="749" spans="3:3" ht="21" customHeight="1" x14ac:dyDescent="0.2">
      <c r="C749" s="24"/>
    </row>
    <row r="750" spans="3:3" ht="21" customHeight="1" x14ac:dyDescent="0.2">
      <c r="C750" s="24"/>
    </row>
    <row r="751" spans="3:3" ht="21" customHeight="1" x14ac:dyDescent="0.2">
      <c r="C751" s="24"/>
    </row>
    <row r="752" spans="3:3" ht="21" customHeight="1" x14ac:dyDescent="0.2">
      <c r="C752" s="24"/>
    </row>
    <row r="753" spans="3:3" ht="21" customHeight="1" x14ac:dyDescent="0.2">
      <c r="C753" s="24"/>
    </row>
    <row r="754" spans="3:3" ht="21" customHeight="1" x14ac:dyDescent="0.2">
      <c r="C754" s="24"/>
    </row>
    <row r="755" spans="3:3" ht="21" customHeight="1" x14ac:dyDescent="0.2">
      <c r="C755" s="24"/>
    </row>
    <row r="756" spans="3:3" ht="21" customHeight="1" x14ac:dyDescent="0.2">
      <c r="C756" s="24"/>
    </row>
    <row r="757" spans="3:3" ht="21" customHeight="1" x14ac:dyDescent="0.2">
      <c r="C757" s="24"/>
    </row>
    <row r="758" spans="3:3" ht="21" customHeight="1" x14ac:dyDescent="0.2">
      <c r="C758" s="24"/>
    </row>
    <row r="759" spans="3:3" ht="21" customHeight="1" x14ac:dyDescent="0.2">
      <c r="C759" s="24"/>
    </row>
    <row r="760" spans="3:3" ht="21" customHeight="1" x14ac:dyDescent="0.2">
      <c r="C760" s="24"/>
    </row>
    <row r="761" spans="3:3" ht="21" customHeight="1" x14ac:dyDescent="0.2">
      <c r="C761" s="24"/>
    </row>
    <row r="762" spans="3:3" ht="21" customHeight="1" x14ac:dyDescent="0.2">
      <c r="C762" s="24"/>
    </row>
    <row r="763" spans="3:3" ht="21" customHeight="1" x14ac:dyDescent="0.2">
      <c r="C763" s="24"/>
    </row>
    <row r="764" spans="3:3" ht="21" customHeight="1" x14ac:dyDescent="0.2">
      <c r="C764" s="24"/>
    </row>
    <row r="765" spans="3:3" ht="21" customHeight="1" x14ac:dyDescent="0.2">
      <c r="C765" s="24"/>
    </row>
    <row r="766" spans="3:3" ht="21" customHeight="1" x14ac:dyDescent="0.2">
      <c r="C766" s="24"/>
    </row>
    <row r="767" spans="3:3" ht="21" customHeight="1" x14ac:dyDescent="0.2">
      <c r="C767" s="24"/>
    </row>
    <row r="768" spans="3:3" ht="21" customHeight="1" x14ac:dyDescent="0.2">
      <c r="C768" s="24"/>
    </row>
    <row r="769" spans="3:3" ht="21" customHeight="1" x14ac:dyDescent="0.2">
      <c r="C769" s="24"/>
    </row>
    <row r="770" spans="3:3" ht="21" customHeight="1" x14ac:dyDescent="0.2">
      <c r="C770" s="24"/>
    </row>
    <row r="771" spans="3:3" ht="21" customHeight="1" x14ac:dyDescent="0.2">
      <c r="C771" s="24"/>
    </row>
    <row r="772" spans="3:3" ht="21" customHeight="1" x14ac:dyDescent="0.2">
      <c r="C772" s="24"/>
    </row>
    <row r="773" spans="3:3" ht="21" customHeight="1" x14ac:dyDescent="0.2">
      <c r="C773" s="24"/>
    </row>
    <row r="774" spans="3:3" ht="21" customHeight="1" x14ac:dyDescent="0.2">
      <c r="C774" s="24"/>
    </row>
    <row r="775" spans="3:3" ht="21" customHeight="1" x14ac:dyDescent="0.2">
      <c r="C775" s="24"/>
    </row>
    <row r="776" spans="3:3" ht="21" customHeight="1" x14ac:dyDescent="0.2">
      <c r="C776" s="24"/>
    </row>
    <row r="777" spans="3:3" ht="21" customHeight="1" x14ac:dyDescent="0.2">
      <c r="C777" s="24"/>
    </row>
    <row r="778" spans="3:3" ht="21" customHeight="1" x14ac:dyDescent="0.2">
      <c r="C778" s="24"/>
    </row>
    <row r="779" spans="3:3" ht="21" customHeight="1" x14ac:dyDescent="0.2">
      <c r="C779" s="24"/>
    </row>
    <row r="780" spans="3:3" ht="21" customHeight="1" x14ac:dyDescent="0.2">
      <c r="C780" s="24"/>
    </row>
    <row r="781" spans="3:3" ht="21" customHeight="1" x14ac:dyDescent="0.2">
      <c r="C781" s="24"/>
    </row>
    <row r="782" spans="3:3" ht="21" customHeight="1" x14ac:dyDescent="0.2">
      <c r="C782" s="24"/>
    </row>
    <row r="783" spans="3:3" ht="21" customHeight="1" x14ac:dyDescent="0.2">
      <c r="C783" s="24"/>
    </row>
    <row r="784" spans="3:3" ht="21" customHeight="1" x14ac:dyDescent="0.2">
      <c r="C784" s="24"/>
    </row>
    <row r="785" spans="3:3" ht="21" customHeight="1" x14ac:dyDescent="0.2">
      <c r="C785" s="24"/>
    </row>
    <row r="786" spans="3:3" ht="21" customHeight="1" x14ac:dyDescent="0.2">
      <c r="C786" s="24"/>
    </row>
    <row r="787" spans="3:3" ht="21" customHeight="1" x14ac:dyDescent="0.2">
      <c r="C787" s="24"/>
    </row>
    <row r="788" spans="3:3" ht="21" customHeight="1" x14ac:dyDescent="0.2">
      <c r="C788" s="24"/>
    </row>
    <row r="789" spans="3:3" ht="21" customHeight="1" x14ac:dyDescent="0.2">
      <c r="C789" s="24"/>
    </row>
    <row r="790" spans="3:3" ht="21" customHeight="1" x14ac:dyDescent="0.2">
      <c r="C790" s="24"/>
    </row>
    <row r="791" spans="3:3" ht="21" customHeight="1" x14ac:dyDescent="0.2">
      <c r="C791" s="24"/>
    </row>
    <row r="792" spans="3:3" ht="21" customHeight="1" x14ac:dyDescent="0.2">
      <c r="C792" s="24"/>
    </row>
    <row r="793" spans="3:3" ht="21" customHeight="1" x14ac:dyDescent="0.2">
      <c r="C793" s="24"/>
    </row>
    <row r="794" spans="3:3" ht="21" customHeight="1" x14ac:dyDescent="0.2">
      <c r="C794" s="24"/>
    </row>
    <row r="795" spans="3:3" ht="21" customHeight="1" x14ac:dyDescent="0.2">
      <c r="C795" s="24"/>
    </row>
    <row r="796" spans="3:3" ht="21" customHeight="1" x14ac:dyDescent="0.2">
      <c r="C796" s="24"/>
    </row>
    <row r="797" spans="3:3" ht="21" customHeight="1" x14ac:dyDescent="0.2">
      <c r="C797" s="24"/>
    </row>
    <row r="798" spans="3:3" ht="21" customHeight="1" x14ac:dyDescent="0.2">
      <c r="C798" s="24"/>
    </row>
    <row r="799" spans="3:3" ht="21" customHeight="1" x14ac:dyDescent="0.2">
      <c r="C799" s="24"/>
    </row>
    <row r="800" spans="3:3" ht="21" customHeight="1" x14ac:dyDescent="0.2">
      <c r="C800" s="24"/>
    </row>
    <row r="801" spans="3:3" ht="21" customHeight="1" x14ac:dyDescent="0.2">
      <c r="C801" s="24"/>
    </row>
    <row r="802" spans="3:3" ht="21" customHeight="1" x14ac:dyDescent="0.2">
      <c r="C802" s="24"/>
    </row>
    <row r="803" spans="3:3" ht="21" customHeight="1" x14ac:dyDescent="0.2">
      <c r="C803" s="24"/>
    </row>
    <row r="804" spans="3:3" ht="21" customHeight="1" x14ac:dyDescent="0.2">
      <c r="C804" s="24"/>
    </row>
    <row r="805" spans="3:3" ht="21" customHeight="1" x14ac:dyDescent="0.2">
      <c r="C805" s="24"/>
    </row>
    <row r="806" spans="3:3" ht="21" customHeight="1" x14ac:dyDescent="0.2">
      <c r="C806" s="24"/>
    </row>
    <row r="807" spans="3:3" ht="21" customHeight="1" x14ac:dyDescent="0.2">
      <c r="C807" s="24"/>
    </row>
    <row r="808" spans="3:3" ht="21" customHeight="1" x14ac:dyDescent="0.2">
      <c r="C808" s="24"/>
    </row>
    <row r="809" spans="3:3" ht="21" customHeight="1" x14ac:dyDescent="0.2">
      <c r="C809" s="24"/>
    </row>
    <row r="810" spans="3:3" ht="21" customHeight="1" x14ac:dyDescent="0.2">
      <c r="C810" s="24"/>
    </row>
    <row r="811" spans="3:3" ht="21" customHeight="1" x14ac:dyDescent="0.2">
      <c r="C811" s="24"/>
    </row>
    <row r="812" spans="3:3" ht="21" customHeight="1" x14ac:dyDescent="0.2">
      <c r="C812" s="24"/>
    </row>
    <row r="813" spans="3:3" ht="21" customHeight="1" x14ac:dyDescent="0.2">
      <c r="C813" s="24"/>
    </row>
    <row r="814" spans="3:3" ht="21" customHeight="1" x14ac:dyDescent="0.2">
      <c r="C814" s="24"/>
    </row>
    <row r="815" spans="3:3" ht="21" customHeight="1" x14ac:dyDescent="0.2">
      <c r="C815" s="24"/>
    </row>
    <row r="816" spans="3:3" ht="21" customHeight="1" x14ac:dyDescent="0.2">
      <c r="C816" s="24"/>
    </row>
    <row r="817" spans="3:3" ht="21" customHeight="1" x14ac:dyDescent="0.2">
      <c r="C817" s="24"/>
    </row>
    <row r="818" spans="3:3" ht="21" customHeight="1" x14ac:dyDescent="0.2">
      <c r="C818" s="24"/>
    </row>
    <row r="819" spans="3:3" ht="21" customHeight="1" x14ac:dyDescent="0.2">
      <c r="C819" s="24"/>
    </row>
    <row r="820" spans="3:3" ht="21" customHeight="1" x14ac:dyDescent="0.2">
      <c r="C820" s="24"/>
    </row>
    <row r="821" spans="3:3" ht="21" customHeight="1" x14ac:dyDescent="0.2">
      <c r="C821" s="24"/>
    </row>
    <row r="822" spans="3:3" ht="21" customHeight="1" x14ac:dyDescent="0.2">
      <c r="C822" s="24"/>
    </row>
    <row r="823" spans="3:3" ht="21" customHeight="1" x14ac:dyDescent="0.2">
      <c r="C823" s="24"/>
    </row>
    <row r="824" spans="3:3" ht="21" customHeight="1" x14ac:dyDescent="0.2">
      <c r="C824" s="24"/>
    </row>
    <row r="825" spans="3:3" ht="21" customHeight="1" x14ac:dyDescent="0.2">
      <c r="C825" s="24"/>
    </row>
    <row r="826" spans="3:3" ht="21" customHeight="1" x14ac:dyDescent="0.2">
      <c r="C826" s="24"/>
    </row>
    <row r="827" spans="3:3" ht="21" customHeight="1" x14ac:dyDescent="0.2">
      <c r="C827" s="24"/>
    </row>
    <row r="828" spans="3:3" ht="21" customHeight="1" x14ac:dyDescent="0.2">
      <c r="C828" s="24"/>
    </row>
    <row r="829" spans="3:3" ht="21" customHeight="1" x14ac:dyDescent="0.2">
      <c r="C829" s="24"/>
    </row>
    <row r="830" spans="3:3" ht="21" customHeight="1" x14ac:dyDescent="0.2">
      <c r="C830" s="24"/>
    </row>
    <row r="831" spans="3:3" ht="21" customHeight="1" x14ac:dyDescent="0.2">
      <c r="C831" s="24"/>
    </row>
    <row r="832" spans="3:3" ht="21" customHeight="1" x14ac:dyDescent="0.2">
      <c r="C832" s="24"/>
    </row>
    <row r="833" spans="3:3" ht="21" customHeight="1" x14ac:dyDescent="0.2">
      <c r="C833" s="24"/>
    </row>
    <row r="834" spans="3:3" ht="21" customHeight="1" x14ac:dyDescent="0.2">
      <c r="C834" s="24"/>
    </row>
    <row r="835" spans="3:3" ht="21" customHeight="1" x14ac:dyDescent="0.2">
      <c r="C835" s="24"/>
    </row>
    <row r="836" spans="3:3" ht="21" customHeight="1" x14ac:dyDescent="0.2">
      <c r="C836" s="24"/>
    </row>
    <row r="837" spans="3:3" ht="21" customHeight="1" x14ac:dyDescent="0.2">
      <c r="C837" s="24"/>
    </row>
    <row r="838" spans="3:3" ht="21" customHeight="1" x14ac:dyDescent="0.2">
      <c r="C838" s="24"/>
    </row>
    <row r="839" spans="3:3" ht="21" customHeight="1" x14ac:dyDescent="0.2">
      <c r="C839" s="24"/>
    </row>
    <row r="840" spans="3:3" ht="21" customHeight="1" x14ac:dyDescent="0.2">
      <c r="C840" s="24"/>
    </row>
    <row r="841" spans="3:3" ht="21" customHeight="1" x14ac:dyDescent="0.2">
      <c r="C841" s="24"/>
    </row>
    <row r="842" spans="3:3" ht="21" customHeight="1" x14ac:dyDescent="0.2">
      <c r="C842" s="24"/>
    </row>
    <row r="843" spans="3:3" ht="21" customHeight="1" x14ac:dyDescent="0.2">
      <c r="C843" s="24"/>
    </row>
    <row r="844" spans="3:3" ht="21" customHeight="1" x14ac:dyDescent="0.2">
      <c r="C844" s="24"/>
    </row>
    <row r="845" spans="3:3" ht="21" customHeight="1" x14ac:dyDescent="0.2">
      <c r="C845" s="24"/>
    </row>
    <row r="846" spans="3:3" ht="21" customHeight="1" x14ac:dyDescent="0.2">
      <c r="C846" s="24"/>
    </row>
    <row r="847" spans="3:3" ht="21" customHeight="1" x14ac:dyDescent="0.2">
      <c r="C847" s="24"/>
    </row>
    <row r="848" spans="3:3" ht="21" customHeight="1" x14ac:dyDescent="0.2">
      <c r="C848" s="24"/>
    </row>
    <row r="849" spans="3:3" ht="21" customHeight="1" x14ac:dyDescent="0.2">
      <c r="C849" s="24"/>
    </row>
    <row r="850" spans="3:3" ht="21" customHeight="1" x14ac:dyDescent="0.2">
      <c r="C850" s="24"/>
    </row>
    <row r="851" spans="3:3" ht="21" customHeight="1" x14ac:dyDescent="0.2">
      <c r="C851" s="24"/>
    </row>
    <row r="852" spans="3:3" ht="21" customHeight="1" x14ac:dyDescent="0.2">
      <c r="C852" s="24"/>
    </row>
    <row r="853" spans="3:3" ht="21" customHeight="1" x14ac:dyDescent="0.2">
      <c r="C853" s="24"/>
    </row>
    <row r="854" spans="3:3" ht="21" customHeight="1" x14ac:dyDescent="0.2">
      <c r="C854" s="24"/>
    </row>
    <row r="855" spans="3:3" ht="21" customHeight="1" x14ac:dyDescent="0.2">
      <c r="C855" s="24"/>
    </row>
    <row r="856" spans="3:3" ht="21" customHeight="1" x14ac:dyDescent="0.2">
      <c r="C856" s="24"/>
    </row>
    <row r="857" spans="3:3" ht="21" customHeight="1" x14ac:dyDescent="0.2">
      <c r="C857" s="24"/>
    </row>
    <row r="858" spans="3:3" ht="21" customHeight="1" x14ac:dyDescent="0.2">
      <c r="C858" s="24"/>
    </row>
    <row r="859" spans="3:3" ht="21" customHeight="1" x14ac:dyDescent="0.2">
      <c r="C859" s="24"/>
    </row>
    <row r="860" spans="3:3" ht="21" customHeight="1" x14ac:dyDescent="0.2">
      <c r="C860" s="24"/>
    </row>
    <row r="861" spans="3:3" ht="21" customHeight="1" x14ac:dyDescent="0.2">
      <c r="C861" s="24"/>
    </row>
    <row r="862" spans="3:3" ht="21" customHeight="1" x14ac:dyDescent="0.2">
      <c r="C862" s="24"/>
    </row>
    <row r="863" spans="3:3" ht="21" customHeight="1" x14ac:dyDescent="0.2">
      <c r="C863" s="24"/>
    </row>
    <row r="864" spans="3:3" ht="21" customHeight="1" x14ac:dyDescent="0.2">
      <c r="C864" s="24"/>
    </row>
    <row r="865" spans="3:3" ht="21" customHeight="1" x14ac:dyDescent="0.2">
      <c r="C865" s="24"/>
    </row>
    <row r="866" spans="3:3" ht="21" customHeight="1" x14ac:dyDescent="0.2">
      <c r="C866" s="24"/>
    </row>
    <row r="867" spans="3:3" ht="21" customHeight="1" x14ac:dyDescent="0.2">
      <c r="C867" s="24"/>
    </row>
    <row r="868" spans="3:3" ht="21" customHeight="1" x14ac:dyDescent="0.2">
      <c r="C868" s="24"/>
    </row>
    <row r="869" spans="3:3" ht="21" customHeight="1" x14ac:dyDescent="0.2">
      <c r="C869" s="24"/>
    </row>
    <row r="870" spans="3:3" ht="21" customHeight="1" x14ac:dyDescent="0.2">
      <c r="C870" s="24"/>
    </row>
    <row r="871" spans="3:3" ht="21" customHeight="1" x14ac:dyDescent="0.2">
      <c r="C871" s="24"/>
    </row>
    <row r="872" spans="3:3" ht="21" customHeight="1" x14ac:dyDescent="0.2">
      <c r="C872" s="24"/>
    </row>
    <row r="873" spans="3:3" ht="21" customHeight="1" x14ac:dyDescent="0.2">
      <c r="C873" s="24"/>
    </row>
    <row r="874" spans="3:3" ht="21" customHeight="1" x14ac:dyDescent="0.2">
      <c r="C874" s="24"/>
    </row>
    <row r="875" spans="3:3" ht="21" customHeight="1" x14ac:dyDescent="0.2">
      <c r="C875" s="24"/>
    </row>
    <row r="876" spans="3:3" ht="21" customHeight="1" x14ac:dyDescent="0.2">
      <c r="C876" s="24"/>
    </row>
    <row r="877" spans="3:3" ht="21" customHeight="1" x14ac:dyDescent="0.2">
      <c r="C877" s="24"/>
    </row>
    <row r="878" spans="3:3" ht="21" customHeight="1" x14ac:dyDescent="0.2">
      <c r="C878" s="24"/>
    </row>
    <row r="879" spans="3:3" ht="21" customHeight="1" x14ac:dyDescent="0.2">
      <c r="C879" s="24"/>
    </row>
    <row r="880" spans="3:3" ht="21" customHeight="1" x14ac:dyDescent="0.2">
      <c r="C880" s="24"/>
    </row>
    <row r="881" spans="3:3" ht="21" customHeight="1" x14ac:dyDescent="0.2">
      <c r="C881" s="24"/>
    </row>
    <row r="882" spans="3:3" ht="21" customHeight="1" x14ac:dyDescent="0.2">
      <c r="C882" s="24"/>
    </row>
    <row r="883" spans="3:3" ht="21" customHeight="1" x14ac:dyDescent="0.2">
      <c r="C883" s="24"/>
    </row>
    <row r="884" spans="3:3" ht="21" customHeight="1" x14ac:dyDescent="0.2">
      <c r="C884" s="24"/>
    </row>
    <row r="885" spans="3:3" ht="21" customHeight="1" x14ac:dyDescent="0.2">
      <c r="C885" s="24"/>
    </row>
    <row r="886" spans="3:3" ht="21" customHeight="1" x14ac:dyDescent="0.2">
      <c r="C886" s="24"/>
    </row>
    <row r="887" spans="3:3" ht="21" customHeight="1" x14ac:dyDescent="0.2">
      <c r="C887" s="24"/>
    </row>
    <row r="888" spans="3:3" ht="21" customHeight="1" x14ac:dyDescent="0.2">
      <c r="C888" s="24"/>
    </row>
    <row r="889" spans="3:3" ht="21" customHeight="1" x14ac:dyDescent="0.2">
      <c r="C889" s="24"/>
    </row>
    <row r="890" spans="3:3" ht="21" customHeight="1" x14ac:dyDescent="0.2">
      <c r="C890" s="24"/>
    </row>
    <row r="891" spans="3:3" ht="21" customHeight="1" x14ac:dyDescent="0.2">
      <c r="C891" s="24"/>
    </row>
    <row r="892" spans="3:3" ht="21" customHeight="1" x14ac:dyDescent="0.2">
      <c r="C892" s="24"/>
    </row>
    <row r="893" spans="3:3" ht="21" customHeight="1" x14ac:dyDescent="0.2">
      <c r="C893" s="24"/>
    </row>
    <row r="894" spans="3:3" ht="21" customHeight="1" x14ac:dyDescent="0.2">
      <c r="C894" s="24"/>
    </row>
    <row r="895" spans="3:3" ht="21" customHeight="1" x14ac:dyDescent="0.2">
      <c r="C895" s="24"/>
    </row>
    <row r="896" spans="3:3" ht="21" customHeight="1" x14ac:dyDescent="0.2">
      <c r="C896" s="24"/>
    </row>
    <row r="897" spans="3:3" ht="21" customHeight="1" x14ac:dyDescent="0.2">
      <c r="C897" s="24"/>
    </row>
    <row r="898" spans="3:3" ht="21" customHeight="1" x14ac:dyDescent="0.2">
      <c r="C898" s="24"/>
    </row>
    <row r="899" spans="3:3" ht="21" customHeight="1" x14ac:dyDescent="0.2">
      <c r="C899" s="24"/>
    </row>
    <row r="900" spans="3:3" ht="21" customHeight="1" x14ac:dyDescent="0.2">
      <c r="C900" s="24"/>
    </row>
    <row r="901" spans="3:3" ht="21" customHeight="1" x14ac:dyDescent="0.2">
      <c r="C901" s="24"/>
    </row>
    <row r="902" spans="3:3" ht="21" customHeight="1" x14ac:dyDescent="0.2">
      <c r="C902" s="24"/>
    </row>
    <row r="903" spans="3:3" ht="21" customHeight="1" x14ac:dyDescent="0.2">
      <c r="C903" s="24"/>
    </row>
    <row r="904" spans="3:3" ht="21" customHeight="1" x14ac:dyDescent="0.2">
      <c r="C904" s="24"/>
    </row>
    <row r="905" spans="3:3" ht="21" customHeight="1" x14ac:dyDescent="0.2">
      <c r="C905" s="24"/>
    </row>
    <row r="906" spans="3:3" ht="21" customHeight="1" x14ac:dyDescent="0.2">
      <c r="C906" s="24"/>
    </row>
    <row r="907" spans="3:3" ht="21" customHeight="1" x14ac:dyDescent="0.2">
      <c r="C907" s="24"/>
    </row>
    <row r="908" spans="3:3" ht="21" customHeight="1" x14ac:dyDescent="0.2">
      <c r="C908" s="24"/>
    </row>
    <row r="909" spans="3:3" ht="21" customHeight="1" x14ac:dyDescent="0.2">
      <c r="C909" s="24"/>
    </row>
    <row r="910" spans="3:3" ht="21" customHeight="1" x14ac:dyDescent="0.2">
      <c r="C910" s="24"/>
    </row>
    <row r="911" spans="3:3" ht="21" customHeight="1" x14ac:dyDescent="0.2">
      <c r="C911" s="24"/>
    </row>
    <row r="912" spans="3:3" ht="21" customHeight="1" x14ac:dyDescent="0.2">
      <c r="C912" s="24"/>
    </row>
    <row r="913" spans="3:3" ht="21" customHeight="1" x14ac:dyDescent="0.2">
      <c r="C913" s="24"/>
    </row>
    <row r="914" spans="3:3" ht="21" customHeight="1" x14ac:dyDescent="0.2">
      <c r="C914" s="24"/>
    </row>
    <row r="915" spans="3:3" ht="21" customHeight="1" x14ac:dyDescent="0.2">
      <c r="C915" s="24"/>
    </row>
    <row r="916" spans="3:3" ht="21" customHeight="1" x14ac:dyDescent="0.2">
      <c r="C916" s="24"/>
    </row>
    <row r="917" spans="3:3" ht="21" customHeight="1" x14ac:dyDescent="0.2">
      <c r="C917" s="24"/>
    </row>
    <row r="918" spans="3:3" ht="21" customHeight="1" x14ac:dyDescent="0.2">
      <c r="C918" s="24"/>
    </row>
    <row r="919" spans="3:3" ht="21" customHeight="1" x14ac:dyDescent="0.2">
      <c r="C919" s="24"/>
    </row>
    <row r="920" spans="3:3" ht="21" customHeight="1" x14ac:dyDescent="0.2">
      <c r="C920" s="24"/>
    </row>
    <row r="921" spans="3:3" ht="21" customHeight="1" x14ac:dyDescent="0.2">
      <c r="C921" s="24"/>
    </row>
    <row r="922" spans="3:3" ht="21" customHeight="1" x14ac:dyDescent="0.2">
      <c r="C922" s="24"/>
    </row>
    <row r="923" spans="3:3" ht="21" customHeight="1" x14ac:dyDescent="0.2">
      <c r="C923" s="24"/>
    </row>
    <row r="924" spans="3:3" ht="21" customHeight="1" x14ac:dyDescent="0.2">
      <c r="C924" s="24"/>
    </row>
    <row r="925" spans="3:3" ht="21" customHeight="1" x14ac:dyDescent="0.2">
      <c r="C925" s="24"/>
    </row>
    <row r="926" spans="3:3" ht="21" customHeight="1" x14ac:dyDescent="0.2">
      <c r="C926" s="24"/>
    </row>
    <row r="927" spans="3:3" ht="21" customHeight="1" x14ac:dyDescent="0.2">
      <c r="C927" s="24"/>
    </row>
    <row r="928" spans="3:3" ht="21" customHeight="1" x14ac:dyDescent="0.2">
      <c r="C928" s="24"/>
    </row>
    <row r="929" spans="3:3" ht="21" customHeight="1" x14ac:dyDescent="0.2">
      <c r="C929" s="24"/>
    </row>
    <row r="930" spans="3:3" ht="21" customHeight="1" x14ac:dyDescent="0.2">
      <c r="C930" s="24"/>
    </row>
    <row r="931" spans="3:3" ht="21" customHeight="1" x14ac:dyDescent="0.2">
      <c r="C931" s="24"/>
    </row>
    <row r="932" spans="3:3" ht="21" customHeight="1" x14ac:dyDescent="0.2">
      <c r="C932" s="24"/>
    </row>
    <row r="933" spans="3:3" ht="21" customHeight="1" x14ac:dyDescent="0.2">
      <c r="C933" s="24"/>
    </row>
    <row r="934" spans="3:3" ht="21" customHeight="1" x14ac:dyDescent="0.2">
      <c r="C934" s="24"/>
    </row>
    <row r="935" spans="3:3" ht="21" customHeight="1" x14ac:dyDescent="0.2">
      <c r="C935" s="24"/>
    </row>
    <row r="936" spans="3:3" ht="21" customHeight="1" x14ac:dyDescent="0.2">
      <c r="C936" s="24"/>
    </row>
    <row r="937" spans="3:3" ht="21" customHeight="1" x14ac:dyDescent="0.2">
      <c r="C937" s="24"/>
    </row>
    <row r="938" spans="3:3" ht="21" customHeight="1" x14ac:dyDescent="0.2">
      <c r="C938" s="24"/>
    </row>
    <row r="939" spans="3:3" ht="21" customHeight="1" x14ac:dyDescent="0.2">
      <c r="C939" s="24"/>
    </row>
    <row r="940" spans="3:3" ht="21" customHeight="1" x14ac:dyDescent="0.2">
      <c r="C940" s="24"/>
    </row>
    <row r="941" spans="3:3" ht="21" customHeight="1" x14ac:dyDescent="0.2">
      <c r="C941" s="24"/>
    </row>
    <row r="942" spans="3:3" ht="21" customHeight="1" x14ac:dyDescent="0.2">
      <c r="C942" s="24"/>
    </row>
    <row r="943" spans="3:3" ht="21" customHeight="1" x14ac:dyDescent="0.2">
      <c r="C943" s="24"/>
    </row>
    <row r="944" spans="3:3" ht="21" customHeight="1" x14ac:dyDescent="0.2">
      <c r="C944" s="24"/>
    </row>
    <row r="945" spans="3:3" ht="21" customHeight="1" x14ac:dyDescent="0.2">
      <c r="C945" s="24"/>
    </row>
    <row r="946" spans="3:3" ht="21" customHeight="1" x14ac:dyDescent="0.2">
      <c r="C946" s="24"/>
    </row>
    <row r="947" spans="3:3" ht="21" customHeight="1" x14ac:dyDescent="0.2">
      <c r="C947" s="24"/>
    </row>
    <row r="948" spans="3:3" ht="21" customHeight="1" x14ac:dyDescent="0.2">
      <c r="C948" s="24"/>
    </row>
    <row r="949" spans="3:3" ht="21" customHeight="1" x14ac:dyDescent="0.2">
      <c r="C949" s="24"/>
    </row>
    <row r="950" spans="3:3" ht="21" customHeight="1" x14ac:dyDescent="0.2">
      <c r="C950" s="24"/>
    </row>
    <row r="951" spans="3:3" ht="21" customHeight="1" x14ac:dyDescent="0.2">
      <c r="C951" s="24"/>
    </row>
    <row r="952" spans="3:3" ht="21" customHeight="1" x14ac:dyDescent="0.2">
      <c r="C952" s="24"/>
    </row>
    <row r="953" spans="3:3" ht="21" customHeight="1" x14ac:dyDescent="0.2">
      <c r="C953" s="24"/>
    </row>
    <row r="954" spans="3:3" ht="21" customHeight="1" x14ac:dyDescent="0.2">
      <c r="C954" s="24"/>
    </row>
    <row r="955" spans="3:3" ht="21" customHeight="1" x14ac:dyDescent="0.2">
      <c r="C955" s="24"/>
    </row>
    <row r="956" spans="3:3" ht="21" customHeight="1" x14ac:dyDescent="0.2">
      <c r="C956" s="24"/>
    </row>
    <row r="957" spans="3:3" ht="21" customHeight="1" x14ac:dyDescent="0.2">
      <c r="C957" s="24"/>
    </row>
    <row r="958" spans="3:3" ht="21" customHeight="1" x14ac:dyDescent="0.2">
      <c r="C958" s="24"/>
    </row>
    <row r="959" spans="3:3" ht="21" customHeight="1" x14ac:dyDescent="0.2">
      <c r="C959" s="24"/>
    </row>
    <row r="960" spans="3:3" ht="21" customHeight="1" x14ac:dyDescent="0.2">
      <c r="C960" s="24"/>
    </row>
    <row r="961" spans="3:3" ht="21" customHeight="1" x14ac:dyDescent="0.2">
      <c r="C961" s="24"/>
    </row>
    <row r="962" spans="3:3" ht="21" customHeight="1" x14ac:dyDescent="0.2">
      <c r="C962" s="24"/>
    </row>
    <row r="963" spans="3:3" ht="21" customHeight="1" x14ac:dyDescent="0.2">
      <c r="C963" s="24"/>
    </row>
    <row r="964" spans="3:3" ht="21" customHeight="1" x14ac:dyDescent="0.2">
      <c r="C964" s="24"/>
    </row>
    <row r="965" spans="3:3" ht="21" customHeight="1" x14ac:dyDescent="0.2">
      <c r="C965" s="24"/>
    </row>
    <row r="966" spans="3:3" ht="21" customHeight="1" x14ac:dyDescent="0.2">
      <c r="C966" s="24"/>
    </row>
    <row r="967" spans="3:3" ht="21" customHeight="1" x14ac:dyDescent="0.2">
      <c r="C967" s="24"/>
    </row>
    <row r="968" spans="3:3" ht="21" customHeight="1" x14ac:dyDescent="0.2">
      <c r="C968" s="24"/>
    </row>
    <row r="969" spans="3:3" ht="21" customHeight="1" x14ac:dyDescent="0.2">
      <c r="C969" s="24"/>
    </row>
    <row r="970" spans="3:3" ht="21" customHeight="1" x14ac:dyDescent="0.2">
      <c r="C970" s="24"/>
    </row>
    <row r="971" spans="3:3" ht="21" customHeight="1" x14ac:dyDescent="0.2">
      <c r="C971" s="24"/>
    </row>
    <row r="972" spans="3:3" ht="21" customHeight="1" x14ac:dyDescent="0.2">
      <c r="C972" s="24"/>
    </row>
    <row r="973" spans="3:3" ht="21" customHeight="1" x14ac:dyDescent="0.2">
      <c r="C973" s="24"/>
    </row>
    <row r="974" spans="3:3" ht="21" customHeight="1" x14ac:dyDescent="0.2">
      <c r="C974" s="24"/>
    </row>
    <row r="975" spans="3:3" ht="21" customHeight="1" x14ac:dyDescent="0.2">
      <c r="C975" s="24"/>
    </row>
    <row r="976" spans="3:3" ht="21" customHeight="1" x14ac:dyDescent="0.2">
      <c r="C976" s="24"/>
    </row>
    <row r="977" spans="3:3" ht="21" customHeight="1" x14ac:dyDescent="0.2">
      <c r="C977" s="24"/>
    </row>
    <row r="978" spans="3:3" ht="21" customHeight="1" x14ac:dyDescent="0.2">
      <c r="C978" s="24"/>
    </row>
    <row r="979" spans="3:3" ht="21" customHeight="1" x14ac:dyDescent="0.2">
      <c r="C979" s="24"/>
    </row>
    <row r="980" spans="3:3" ht="21" customHeight="1" x14ac:dyDescent="0.2">
      <c r="C980" s="24"/>
    </row>
    <row r="981" spans="3:3" ht="21" customHeight="1" x14ac:dyDescent="0.2">
      <c r="C981" s="24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baseColWidth="10" defaultColWidth="14.5" defaultRowHeight="15" customHeight="1" x14ac:dyDescent="0.2"/>
  <cols>
    <col min="1" max="1" width="28.5" customWidth="1"/>
    <col min="2" max="26" width="8.83203125" customWidth="1"/>
  </cols>
  <sheetData>
    <row r="1" spans="1:15" ht="20" x14ac:dyDescent="0.2">
      <c r="A1" s="25" t="s">
        <v>38</v>
      </c>
    </row>
    <row r="3" spans="1:15" x14ac:dyDescent="0.2">
      <c r="A3" s="26" t="s">
        <v>39</v>
      </c>
      <c r="B3" s="27" t="s">
        <v>40</v>
      </c>
      <c r="C3" s="27" t="s">
        <v>41</v>
      </c>
      <c r="D3" s="27" t="s">
        <v>42</v>
      </c>
      <c r="E3" s="27" t="s">
        <v>43</v>
      </c>
      <c r="F3" s="27" t="s">
        <v>44</v>
      </c>
      <c r="G3" s="27" t="s">
        <v>45</v>
      </c>
      <c r="H3" s="27" t="s">
        <v>46</v>
      </c>
      <c r="I3" s="27" t="s">
        <v>47</v>
      </c>
      <c r="J3" s="27" t="s">
        <v>48</v>
      </c>
      <c r="K3" s="27" t="s">
        <v>49</v>
      </c>
      <c r="L3" s="27" t="s">
        <v>50</v>
      </c>
      <c r="M3" s="27" t="s">
        <v>51</v>
      </c>
      <c r="N3" s="27" t="s">
        <v>52</v>
      </c>
      <c r="O3" s="27" t="s">
        <v>53</v>
      </c>
    </row>
    <row r="4" spans="1:15" x14ac:dyDescent="0.2">
      <c r="A4" s="28" t="s">
        <v>54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x14ac:dyDescent="0.2">
      <c r="A5" s="30" t="s">
        <v>55</v>
      </c>
      <c r="B5" s="31">
        <v>0</v>
      </c>
      <c r="C5" s="31">
        <v>0</v>
      </c>
      <c r="D5" s="31">
        <v>3600</v>
      </c>
      <c r="E5" s="31">
        <v>4050</v>
      </c>
      <c r="F5" s="31">
        <v>4500</v>
      </c>
      <c r="G5" s="31">
        <v>4950</v>
      </c>
      <c r="H5" s="31">
        <v>5400</v>
      </c>
      <c r="I5" s="31">
        <v>5850</v>
      </c>
      <c r="J5" s="31">
        <v>6300</v>
      </c>
      <c r="K5" s="31">
        <v>6750</v>
      </c>
      <c r="L5" s="31">
        <v>7200</v>
      </c>
      <c r="M5" s="31">
        <v>7650</v>
      </c>
      <c r="N5" s="31">
        <v>8100</v>
      </c>
      <c r="O5" s="31">
        <v>64350</v>
      </c>
    </row>
    <row r="6" spans="1:15" x14ac:dyDescent="0.2">
      <c r="A6" s="28" t="s">
        <v>56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x14ac:dyDescent="0.2">
      <c r="A7" s="30" t="s">
        <v>57</v>
      </c>
      <c r="B7" s="31">
        <v>0</v>
      </c>
      <c r="C7" s="31">
        <v>0</v>
      </c>
      <c r="D7" s="31">
        <v>65</v>
      </c>
      <c r="E7" s="31">
        <v>65</v>
      </c>
      <c r="F7" s="31">
        <v>65</v>
      </c>
      <c r="G7" s="31">
        <v>65</v>
      </c>
      <c r="H7" s="31">
        <v>65</v>
      </c>
      <c r="I7" s="31">
        <v>65</v>
      </c>
      <c r="J7" s="31">
        <v>65</v>
      </c>
      <c r="K7" s="31">
        <v>65</v>
      </c>
      <c r="L7" s="31">
        <v>65</v>
      </c>
      <c r="M7" s="31">
        <v>65</v>
      </c>
      <c r="N7" s="31">
        <v>65</v>
      </c>
      <c r="O7" s="31">
        <v>715</v>
      </c>
    </row>
    <row r="8" spans="1:15" x14ac:dyDescent="0.2">
      <c r="A8" s="30" t="s">
        <v>58</v>
      </c>
      <c r="B8" s="31">
        <v>0</v>
      </c>
      <c r="C8" s="31">
        <v>0</v>
      </c>
      <c r="D8" s="31">
        <v>3535</v>
      </c>
      <c r="E8" s="31">
        <v>3985</v>
      </c>
      <c r="F8" s="31">
        <v>4435</v>
      </c>
      <c r="G8" s="31">
        <v>4885</v>
      </c>
      <c r="H8" s="31">
        <v>5335</v>
      </c>
      <c r="I8" s="31">
        <v>5785</v>
      </c>
      <c r="J8" s="31">
        <v>6235</v>
      </c>
      <c r="K8" s="31">
        <v>6685</v>
      </c>
      <c r="L8" s="31">
        <v>7135</v>
      </c>
      <c r="M8" s="31">
        <v>7585</v>
      </c>
      <c r="N8" s="31">
        <v>8035</v>
      </c>
      <c r="O8" s="31">
        <v>63635</v>
      </c>
    </row>
    <row r="9" spans="1:15" x14ac:dyDescent="0.2">
      <c r="A9" s="28" t="s">
        <v>59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x14ac:dyDescent="0.2">
      <c r="A10" s="30" t="s">
        <v>60</v>
      </c>
      <c r="B10" s="31">
        <v>0</v>
      </c>
      <c r="C10" s="31">
        <v>250</v>
      </c>
      <c r="D10" s="31">
        <v>30</v>
      </c>
      <c r="E10" s="31">
        <v>30</v>
      </c>
      <c r="F10" s="31">
        <v>30</v>
      </c>
      <c r="G10" s="31">
        <v>30</v>
      </c>
      <c r="H10" s="31">
        <v>30</v>
      </c>
      <c r="I10" s="31">
        <v>30</v>
      </c>
      <c r="J10" s="31">
        <v>30</v>
      </c>
      <c r="K10" s="31">
        <v>30</v>
      </c>
      <c r="L10" s="31">
        <v>30</v>
      </c>
      <c r="M10" s="31">
        <v>30</v>
      </c>
      <c r="N10" s="31">
        <v>30</v>
      </c>
      <c r="O10" s="31">
        <v>580</v>
      </c>
    </row>
    <row r="11" spans="1:15" x14ac:dyDescent="0.2">
      <c r="A11" s="30" t="s">
        <v>61</v>
      </c>
      <c r="B11" s="31">
        <v>0</v>
      </c>
      <c r="C11" s="31">
        <v>10</v>
      </c>
      <c r="D11" s="31">
        <v>82</v>
      </c>
      <c r="E11" s="31">
        <v>91</v>
      </c>
      <c r="F11" s="31">
        <v>100</v>
      </c>
      <c r="G11" s="31">
        <v>109</v>
      </c>
      <c r="H11" s="31">
        <v>118</v>
      </c>
      <c r="I11" s="31">
        <v>127</v>
      </c>
      <c r="J11" s="31">
        <v>136</v>
      </c>
      <c r="K11" s="31">
        <v>145</v>
      </c>
      <c r="L11" s="31">
        <v>154</v>
      </c>
      <c r="M11" s="31">
        <v>163</v>
      </c>
      <c r="N11" s="31">
        <v>172</v>
      </c>
      <c r="O11" s="31">
        <v>1407</v>
      </c>
    </row>
    <row r="12" spans="1:15" x14ac:dyDescent="0.2">
      <c r="A12" s="30" t="s">
        <v>62</v>
      </c>
      <c r="B12" s="31">
        <v>0</v>
      </c>
      <c r="C12" s="31">
        <v>200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200</v>
      </c>
    </row>
    <row r="13" spans="1:15" x14ac:dyDescent="0.2">
      <c r="A13" s="30" t="s">
        <v>63</v>
      </c>
      <c r="B13" s="31">
        <v>0</v>
      </c>
      <c r="C13" s="31">
        <v>250</v>
      </c>
      <c r="D13" s="31">
        <v>250</v>
      </c>
      <c r="E13" s="31">
        <v>250</v>
      </c>
      <c r="F13" s="31">
        <v>250</v>
      </c>
      <c r="G13" s="31">
        <v>250</v>
      </c>
      <c r="H13" s="31">
        <v>250</v>
      </c>
      <c r="I13" s="31">
        <v>250</v>
      </c>
      <c r="J13" s="31">
        <v>250</v>
      </c>
      <c r="K13" s="31">
        <v>250</v>
      </c>
      <c r="L13" s="31">
        <v>250</v>
      </c>
      <c r="M13" s="31">
        <v>250</v>
      </c>
      <c r="N13" s="31">
        <v>250</v>
      </c>
      <c r="O13" s="31">
        <v>3000</v>
      </c>
    </row>
    <row r="14" spans="1:15" x14ac:dyDescent="0.2">
      <c r="A14" s="30" t="s">
        <v>64</v>
      </c>
      <c r="B14" s="31">
        <v>0</v>
      </c>
      <c r="C14" s="31">
        <v>11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132</v>
      </c>
    </row>
    <row r="15" spans="1:15" x14ac:dyDescent="0.2">
      <c r="A15" s="30" t="s">
        <v>16</v>
      </c>
      <c r="B15" s="31">
        <v>0</v>
      </c>
      <c r="C15" s="31">
        <v>380</v>
      </c>
      <c r="D15" s="31">
        <v>380</v>
      </c>
      <c r="E15" s="31">
        <v>380</v>
      </c>
      <c r="F15" s="31">
        <v>380</v>
      </c>
      <c r="G15" s="31">
        <v>380</v>
      </c>
      <c r="H15" s="31">
        <v>380</v>
      </c>
      <c r="I15" s="31">
        <v>380</v>
      </c>
      <c r="J15" s="31">
        <v>380</v>
      </c>
      <c r="K15" s="31">
        <v>380</v>
      </c>
      <c r="L15" s="31">
        <v>380</v>
      </c>
      <c r="M15" s="31">
        <v>380</v>
      </c>
      <c r="N15" s="31">
        <v>380</v>
      </c>
      <c r="O15" s="31">
        <v>4560</v>
      </c>
    </row>
    <row r="16" spans="1:15" x14ac:dyDescent="0.2">
      <c r="A16" s="30" t="s">
        <v>65</v>
      </c>
      <c r="B16" s="31">
        <v>0</v>
      </c>
      <c r="C16" s="31">
        <v>3000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3000</v>
      </c>
    </row>
    <row r="17" spans="1:15" x14ac:dyDescent="0.2">
      <c r="A17" s="30" t="s">
        <v>66</v>
      </c>
      <c r="B17" s="31">
        <v>0</v>
      </c>
      <c r="C17" s="31">
        <v>200</v>
      </c>
      <c r="D17" s="31">
        <v>450</v>
      </c>
      <c r="E17" s="31">
        <v>450</v>
      </c>
      <c r="F17" s="31">
        <v>450</v>
      </c>
      <c r="G17" s="31">
        <v>450</v>
      </c>
      <c r="H17" s="31">
        <v>450</v>
      </c>
      <c r="I17" s="31">
        <v>450</v>
      </c>
      <c r="J17" s="31">
        <v>450</v>
      </c>
      <c r="K17" s="31">
        <v>450</v>
      </c>
      <c r="L17" s="31">
        <v>450</v>
      </c>
      <c r="M17" s="31">
        <v>450</v>
      </c>
      <c r="N17" s="31">
        <v>450</v>
      </c>
      <c r="O17" s="31">
        <v>5150</v>
      </c>
    </row>
    <row r="18" spans="1:15" x14ac:dyDescent="0.2">
      <c r="A18" s="30" t="s">
        <v>24</v>
      </c>
      <c r="B18" s="31">
        <v>0</v>
      </c>
      <c r="C18" s="31">
        <v>0</v>
      </c>
      <c r="D18" s="31">
        <v>15</v>
      </c>
      <c r="E18" s="31">
        <v>15</v>
      </c>
      <c r="F18" s="31">
        <v>15</v>
      </c>
      <c r="G18" s="31">
        <v>15</v>
      </c>
      <c r="H18" s="31">
        <v>15</v>
      </c>
      <c r="I18" s="31">
        <v>15</v>
      </c>
      <c r="J18" s="31">
        <v>15</v>
      </c>
      <c r="K18" s="31">
        <v>15</v>
      </c>
      <c r="L18" s="31">
        <v>15</v>
      </c>
      <c r="M18" s="31">
        <v>15</v>
      </c>
      <c r="N18" s="31">
        <v>15</v>
      </c>
      <c r="O18" s="31">
        <v>165</v>
      </c>
    </row>
    <row r="19" spans="1:15" x14ac:dyDescent="0.2">
      <c r="A19" s="30" t="s">
        <v>26</v>
      </c>
      <c r="B19" s="31">
        <v>0</v>
      </c>
      <c r="C19" s="31">
        <v>50</v>
      </c>
      <c r="D19" s="31">
        <v>50</v>
      </c>
      <c r="E19" s="31">
        <v>50</v>
      </c>
      <c r="F19" s="31">
        <v>50</v>
      </c>
      <c r="G19" s="31">
        <v>50</v>
      </c>
      <c r="H19" s="31">
        <v>50</v>
      </c>
      <c r="I19" s="31">
        <v>50</v>
      </c>
      <c r="J19" s="31">
        <v>50</v>
      </c>
      <c r="K19" s="31">
        <v>50</v>
      </c>
      <c r="L19" s="31">
        <v>50</v>
      </c>
      <c r="M19" s="31">
        <v>50</v>
      </c>
      <c r="N19" s="31">
        <v>50</v>
      </c>
      <c r="O19" s="31">
        <v>600</v>
      </c>
    </row>
    <row r="20" spans="1:15" x14ac:dyDescent="0.2">
      <c r="A20" s="30" t="s">
        <v>67</v>
      </c>
      <c r="B20" s="31">
        <v>0</v>
      </c>
      <c r="C20" s="31">
        <v>80</v>
      </c>
      <c r="D20" s="31">
        <v>80</v>
      </c>
      <c r="E20" s="31">
        <v>80</v>
      </c>
      <c r="F20" s="31">
        <v>80</v>
      </c>
      <c r="G20" s="31">
        <v>80</v>
      </c>
      <c r="H20" s="31">
        <v>80</v>
      </c>
      <c r="I20" s="31">
        <v>80</v>
      </c>
      <c r="J20" s="31">
        <v>80</v>
      </c>
      <c r="K20" s="31">
        <v>80</v>
      </c>
      <c r="L20" s="31">
        <v>80</v>
      </c>
      <c r="M20" s="31">
        <v>80</v>
      </c>
      <c r="N20" s="31">
        <v>80</v>
      </c>
      <c r="O20" s="31">
        <v>960</v>
      </c>
    </row>
    <row r="21" spans="1:15" ht="15.75" customHeight="1" x14ac:dyDescent="0.2">
      <c r="A21" s="32" t="s">
        <v>68</v>
      </c>
      <c r="B21" s="31">
        <v>0</v>
      </c>
      <c r="C21" s="31">
        <v>4431</v>
      </c>
      <c r="D21" s="31">
        <v>1348</v>
      </c>
      <c r="E21" s="31">
        <v>1357</v>
      </c>
      <c r="F21" s="31">
        <v>1366</v>
      </c>
      <c r="G21" s="31">
        <v>1375</v>
      </c>
      <c r="H21" s="31">
        <v>1384</v>
      </c>
      <c r="I21" s="31">
        <v>1393</v>
      </c>
      <c r="J21" s="31">
        <v>1402</v>
      </c>
      <c r="K21" s="31">
        <v>1411</v>
      </c>
      <c r="L21" s="31">
        <v>1420</v>
      </c>
      <c r="M21" s="31">
        <v>1429</v>
      </c>
      <c r="N21" s="31">
        <v>1438</v>
      </c>
      <c r="O21" s="31">
        <v>19754</v>
      </c>
    </row>
    <row r="22" spans="1:15" ht="15.75" customHeight="1" x14ac:dyDescent="0.2">
      <c r="A22" s="30" t="s">
        <v>69</v>
      </c>
      <c r="B22" s="31">
        <v>0</v>
      </c>
      <c r="C22" s="31">
        <v>-4431</v>
      </c>
      <c r="D22" s="31">
        <v>2187</v>
      </c>
      <c r="E22" s="31">
        <v>2628</v>
      </c>
      <c r="F22" s="31">
        <v>3069</v>
      </c>
      <c r="G22" s="31">
        <v>3510</v>
      </c>
      <c r="H22" s="31">
        <v>3951</v>
      </c>
      <c r="I22" s="31">
        <v>4392</v>
      </c>
      <c r="J22" s="31">
        <v>4833</v>
      </c>
      <c r="K22" s="31">
        <v>5274</v>
      </c>
      <c r="L22" s="31">
        <v>5715</v>
      </c>
      <c r="M22" s="31">
        <v>6156</v>
      </c>
      <c r="N22" s="31">
        <v>6597</v>
      </c>
      <c r="O22" s="31">
        <v>43881</v>
      </c>
    </row>
    <row r="23" spans="1:15" ht="15.75" customHeight="1" x14ac:dyDescent="0.2">
      <c r="A23" s="33" t="s">
        <v>70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30" t="s">
        <v>71</v>
      </c>
      <c r="B24" s="31">
        <v>0</v>
      </c>
      <c r="C24" s="31">
        <v>0</v>
      </c>
      <c r="D24" s="31">
        <v>2000</v>
      </c>
      <c r="E24" s="31">
        <v>1973</v>
      </c>
      <c r="F24" s="31">
        <v>1945</v>
      </c>
      <c r="G24" s="31">
        <v>1918</v>
      </c>
      <c r="H24" s="31">
        <v>1890</v>
      </c>
      <c r="I24" s="31">
        <v>1862</v>
      </c>
      <c r="J24" s="31">
        <v>1834</v>
      </c>
      <c r="K24" s="31">
        <v>1806</v>
      </c>
      <c r="L24" s="31">
        <v>1777</v>
      </c>
      <c r="M24" s="31">
        <v>1748</v>
      </c>
      <c r="N24" s="31">
        <v>1719</v>
      </c>
      <c r="O24" s="31">
        <v>20473</v>
      </c>
    </row>
    <row r="25" spans="1:15" ht="15.75" customHeight="1" x14ac:dyDescent="0.2">
      <c r="A25" s="30" t="s">
        <v>72</v>
      </c>
      <c r="B25" s="31">
        <v>0</v>
      </c>
      <c r="C25" s="31">
        <v>-4431</v>
      </c>
      <c r="D25" s="31">
        <v>187</v>
      </c>
      <c r="E25" s="31">
        <v>655</v>
      </c>
      <c r="F25" s="31">
        <v>1124</v>
      </c>
      <c r="G25" s="31">
        <v>1592</v>
      </c>
      <c r="H25" s="31">
        <v>2061</v>
      </c>
      <c r="I25" s="31">
        <v>2530</v>
      </c>
      <c r="J25" s="31">
        <v>2999</v>
      </c>
      <c r="K25" s="31">
        <v>3468</v>
      </c>
      <c r="L25" s="31">
        <v>3938</v>
      </c>
      <c r="M25" s="31">
        <v>4408</v>
      </c>
      <c r="N25" s="31">
        <v>4878</v>
      </c>
      <c r="O25" s="31">
        <v>23408</v>
      </c>
    </row>
    <row r="26" spans="1:15" ht="15.75" customHeight="1" x14ac:dyDescent="0.2">
      <c r="A26" s="30" t="s">
        <v>73</v>
      </c>
      <c r="B26" s="31">
        <v>0</v>
      </c>
      <c r="C26" s="31">
        <v>-4431</v>
      </c>
      <c r="D26" s="31">
        <v>187</v>
      </c>
      <c r="E26" s="31">
        <v>655</v>
      </c>
      <c r="F26" s="31">
        <v>1124</v>
      </c>
      <c r="G26" s="31">
        <v>1592</v>
      </c>
      <c r="H26" s="31">
        <v>2061</v>
      </c>
      <c r="I26" s="31">
        <v>2530</v>
      </c>
      <c r="J26" s="31">
        <v>2999</v>
      </c>
      <c r="K26" s="31">
        <v>3468</v>
      </c>
      <c r="L26" s="31">
        <v>3938</v>
      </c>
      <c r="M26" s="31">
        <v>4408</v>
      </c>
      <c r="N26" s="31">
        <v>4878</v>
      </c>
      <c r="O26" s="31">
        <v>23408</v>
      </c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W99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4" sqref="E14"/>
    </sheetView>
  </sheetViews>
  <sheetFormatPr baseColWidth="10" defaultColWidth="14.5" defaultRowHeight="15" customHeight="1" x14ac:dyDescent="0.2"/>
  <cols>
    <col min="1" max="1" width="36.33203125" customWidth="1"/>
    <col min="2" max="2" width="5.6640625" customWidth="1"/>
    <col min="3" max="5" width="8.83203125" customWidth="1"/>
    <col min="6" max="6" width="2.5" customWidth="1"/>
    <col min="7" max="19" width="8.83203125" customWidth="1"/>
    <col min="20" max="20" width="2.5" customWidth="1"/>
    <col min="21" max="33" width="8.83203125" customWidth="1"/>
    <col min="34" max="34" width="2.5" customWidth="1"/>
    <col min="35" max="47" width="8.83203125" customWidth="1"/>
    <col min="48" max="48" width="2.5" customWidth="1"/>
    <col min="49" max="61" width="8.83203125" customWidth="1"/>
    <col min="62" max="62" width="2.5" customWidth="1"/>
    <col min="63" max="75" width="8.83203125" customWidth="1"/>
  </cols>
  <sheetData>
    <row r="1" spans="1:75" x14ac:dyDescent="0.2">
      <c r="A1" s="4" t="s">
        <v>74</v>
      </c>
      <c r="B1" s="4"/>
      <c r="C1" s="4"/>
      <c r="D1" s="4"/>
      <c r="E1" s="1"/>
      <c r="F1" s="4"/>
      <c r="G1" s="59" t="s">
        <v>75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4"/>
      <c r="U1" s="59" t="s">
        <v>76</v>
      </c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1"/>
      <c r="AH1" s="4"/>
      <c r="AI1" s="59" t="s">
        <v>77</v>
      </c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1"/>
      <c r="AV1" s="4"/>
      <c r="AW1" s="59" t="s">
        <v>78</v>
      </c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1"/>
      <c r="BJ1" s="4"/>
      <c r="BK1" s="59" t="s">
        <v>79</v>
      </c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1"/>
    </row>
    <row r="2" spans="1:75" x14ac:dyDescent="0.2">
      <c r="A2" s="4"/>
      <c r="B2" s="4"/>
      <c r="C2" s="34"/>
      <c r="D2" s="34"/>
      <c r="E2" s="35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5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5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5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5"/>
    </row>
    <row r="3" spans="1:75" x14ac:dyDescent="0.2">
      <c r="A3" s="4" t="s">
        <v>80</v>
      </c>
      <c r="B3" s="4"/>
      <c r="C3" s="36">
        <v>30</v>
      </c>
      <c r="D3" s="36">
        <v>31</v>
      </c>
      <c r="E3" s="37"/>
      <c r="F3" s="36"/>
      <c r="G3" s="36">
        <v>31</v>
      </c>
      <c r="H3" s="36">
        <v>28</v>
      </c>
      <c r="I3" s="36">
        <v>31</v>
      </c>
      <c r="J3" s="36">
        <v>30</v>
      </c>
      <c r="K3" s="36">
        <v>31</v>
      </c>
      <c r="L3" s="36">
        <v>30</v>
      </c>
      <c r="M3" s="36">
        <v>31</v>
      </c>
      <c r="N3" s="36">
        <v>31</v>
      </c>
      <c r="O3" s="36">
        <v>30</v>
      </c>
      <c r="P3" s="36">
        <v>31</v>
      </c>
      <c r="Q3" s="36">
        <v>30</v>
      </c>
      <c r="R3" s="36">
        <v>31</v>
      </c>
      <c r="S3" s="37"/>
      <c r="T3" s="36"/>
      <c r="U3" s="36">
        <v>31</v>
      </c>
      <c r="V3" s="36">
        <v>28</v>
      </c>
      <c r="W3" s="36">
        <v>31</v>
      </c>
      <c r="X3" s="36">
        <v>30</v>
      </c>
      <c r="Y3" s="36">
        <v>31</v>
      </c>
      <c r="Z3" s="36">
        <v>30</v>
      </c>
      <c r="AA3" s="36">
        <v>31</v>
      </c>
      <c r="AB3" s="36">
        <v>31</v>
      </c>
      <c r="AC3" s="36">
        <v>30</v>
      </c>
      <c r="AD3" s="36">
        <v>31</v>
      </c>
      <c r="AE3" s="36">
        <v>30</v>
      </c>
      <c r="AF3" s="36">
        <v>31</v>
      </c>
      <c r="AG3" s="37"/>
      <c r="AH3" s="36"/>
      <c r="AI3" s="36">
        <v>31</v>
      </c>
      <c r="AJ3" s="36">
        <v>28</v>
      </c>
      <c r="AK3" s="36">
        <v>31</v>
      </c>
      <c r="AL3" s="36">
        <v>30</v>
      </c>
      <c r="AM3" s="36">
        <v>31</v>
      </c>
      <c r="AN3" s="36">
        <v>30</v>
      </c>
      <c r="AO3" s="36">
        <v>31</v>
      </c>
      <c r="AP3" s="36">
        <v>31</v>
      </c>
      <c r="AQ3" s="36">
        <v>30</v>
      </c>
      <c r="AR3" s="36">
        <v>31</v>
      </c>
      <c r="AS3" s="36">
        <v>30</v>
      </c>
      <c r="AT3" s="36">
        <v>31</v>
      </c>
      <c r="AU3" s="37"/>
      <c r="AV3" s="36"/>
      <c r="AW3" s="36">
        <v>31</v>
      </c>
      <c r="AX3" s="36">
        <v>28</v>
      </c>
      <c r="AY3" s="36">
        <v>31</v>
      </c>
      <c r="AZ3" s="36">
        <v>30</v>
      </c>
      <c r="BA3" s="36">
        <v>31</v>
      </c>
      <c r="BB3" s="36">
        <v>30</v>
      </c>
      <c r="BC3" s="36">
        <v>31</v>
      </c>
      <c r="BD3" s="36">
        <v>31</v>
      </c>
      <c r="BE3" s="36">
        <v>30</v>
      </c>
      <c r="BF3" s="36">
        <v>31</v>
      </c>
      <c r="BG3" s="36">
        <v>30</v>
      </c>
      <c r="BH3" s="36">
        <v>31</v>
      </c>
      <c r="BI3" s="37"/>
      <c r="BJ3" s="36"/>
      <c r="BK3" s="36">
        <v>31</v>
      </c>
      <c r="BL3" s="36">
        <v>28</v>
      </c>
      <c r="BM3" s="36">
        <v>31</v>
      </c>
      <c r="BN3" s="36">
        <v>30</v>
      </c>
      <c r="BO3" s="36">
        <v>31</v>
      </c>
      <c r="BP3" s="36">
        <v>30</v>
      </c>
      <c r="BQ3" s="36">
        <v>31</v>
      </c>
      <c r="BR3" s="36">
        <v>31</v>
      </c>
      <c r="BS3" s="36">
        <v>30</v>
      </c>
      <c r="BT3" s="36">
        <v>31</v>
      </c>
      <c r="BU3" s="36">
        <v>30</v>
      </c>
      <c r="BV3" s="36">
        <v>31</v>
      </c>
      <c r="BW3" s="37"/>
    </row>
    <row r="4" spans="1:75" x14ac:dyDescent="0.2">
      <c r="A4" s="4"/>
      <c r="B4" s="4"/>
      <c r="C4" s="34"/>
      <c r="D4" s="34"/>
      <c r="E4" s="3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5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</row>
    <row r="5" spans="1:75" x14ac:dyDescent="0.2">
      <c r="A5" s="4"/>
      <c r="B5" s="4"/>
      <c r="C5" s="38" t="s">
        <v>81</v>
      </c>
      <c r="D5" s="38" t="s">
        <v>81</v>
      </c>
      <c r="E5" s="1"/>
      <c r="F5" s="4"/>
      <c r="G5" s="39" t="s">
        <v>82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"/>
      <c r="T5" s="4"/>
      <c r="U5" s="40"/>
      <c r="V5" s="40"/>
      <c r="W5" s="4"/>
      <c r="X5" s="4"/>
      <c r="Y5" s="4"/>
      <c r="Z5" s="4"/>
      <c r="AA5" s="4"/>
      <c r="AB5" s="4"/>
      <c r="AC5" s="4"/>
      <c r="AD5" s="4"/>
      <c r="AE5" s="4"/>
      <c r="AF5" s="4"/>
      <c r="AG5" s="1"/>
      <c r="AH5" s="4"/>
      <c r="AI5" s="40"/>
      <c r="AJ5" s="40"/>
      <c r="AK5" s="4"/>
      <c r="AL5" s="4"/>
      <c r="AM5" s="4"/>
      <c r="AN5" s="4"/>
      <c r="AO5" s="4"/>
      <c r="AP5" s="4"/>
      <c r="AQ5" s="4"/>
      <c r="AR5" s="4"/>
      <c r="AS5" s="4"/>
      <c r="AT5" s="4"/>
      <c r="AU5" s="1"/>
      <c r="AV5" s="4"/>
      <c r="AW5" s="40"/>
      <c r="AX5" s="40"/>
      <c r="AY5" s="4"/>
      <c r="AZ5" s="4"/>
      <c r="BA5" s="4"/>
      <c r="BB5" s="4"/>
      <c r="BC5" s="4"/>
      <c r="BD5" s="4"/>
      <c r="BE5" s="4"/>
      <c r="BF5" s="4"/>
      <c r="BG5" s="4"/>
      <c r="BH5" s="4"/>
      <c r="BI5" s="1"/>
      <c r="BJ5" s="4"/>
      <c r="BK5" s="40"/>
      <c r="BL5" s="40"/>
      <c r="BM5" s="4"/>
      <c r="BN5" s="4"/>
      <c r="BO5" s="4"/>
      <c r="BP5" s="4"/>
      <c r="BQ5" s="4"/>
      <c r="BR5" s="4"/>
      <c r="BS5" s="4"/>
      <c r="BT5" s="4"/>
      <c r="BU5" s="4"/>
      <c r="BV5" s="4"/>
      <c r="BW5" s="1"/>
    </row>
    <row r="6" spans="1:75" ht="15" customHeight="1" x14ac:dyDescent="0.2">
      <c r="A6" s="41"/>
      <c r="B6" s="41"/>
      <c r="C6" s="42" t="s">
        <v>83</v>
      </c>
      <c r="D6" s="42" t="s">
        <v>84</v>
      </c>
      <c r="E6" s="43" t="s">
        <v>53</v>
      </c>
      <c r="F6" s="44"/>
      <c r="G6" s="42" t="s">
        <v>85</v>
      </c>
      <c r="H6" s="42" t="s">
        <v>86</v>
      </c>
      <c r="I6" s="42" t="s">
        <v>87</v>
      </c>
      <c r="J6" s="42" t="s">
        <v>88</v>
      </c>
      <c r="K6" s="42" t="s">
        <v>89</v>
      </c>
      <c r="L6" s="42" t="s">
        <v>90</v>
      </c>
      <c r="M6" s="42" t="s">
        <v>91</v>
      </c>
      <c r="N6" s="42" t="s">
        <v>92</v>
      </c>
      <c r="O6" s="42" t="s">
        <v>93</v>
      </c>
      <c r="P6" s="42" t="s">
        <v>94</v>
      </c>
      <c r="Q6" s="42" t="s">
        <v>83</v>
      </c>
      <c r="R6" s="42" t="s">
        <v>84</v>
      </c>
      <c r="S6" s="43" t="s">
        <v>53</v>
      </c>
      <c r="T6" s="44"/>
      <c r="U6" s="42" t="s">
        <v>85</v>
      </c>
      <c r="V6" s="42" t="s">
        <v>86</v>
      </c>
      <c r="W6" s="42" t="s">
        <v>87</v>
      </c>
      <c r="X6" s="42" t="s">
        <v>88</v>
      </c>
      <c r="Y6" s="42" t="s">
        <v>89</v>
      </c>
      <c r="Z6" s="42" t="s">
        <v>90</v>
      </c>
      <c r="AA6" s="42" t="s">
        <v>91</v>
      </c>
      <c r="AB6" s="42" t="s">
        <v>92</v>
      </c>
      <c r="AC6" s="42" t="s">
        <v>93</v>
      </c>
      <c r="AD6" s="42" t="s">
        <v>94</v>
      </c>
      <c r="AE6" s="42" t="s">
        <v>83</v>
      </c>
      <c r="AF6" s="42" t="s">
        <v>84</v>
      </c>
      <c r="AG6" s="43" t="s">
        <v>53</v>
      </c>
      <c r="AH6" s="44"/>
      <c r="AI6" s="42" t="s">
        <v>85</v>
      </c>
      <c r="AJ6" s="42" t="s">
        <v>86</v>
      </c>
      <c r="AK6" s="42" t="s">
        <v>87</v>
      </c>
      <c r="AL6" s="42" t="s">
        <v>88</v>
      </c>
      <c r="AM6" s="42" t="s">
        <v>89</v>
      </c>
      <c r="AN6" s="42" t="s">
        <v>90</v>
      </c>
      <c r="AO6" s="42" t="s">
        <v>91</v>
      </c>
      <c r="AP6" s="42" t="s">
        <v>92</v>
      </c>
      <c r="AQ6" s="42" t="s">
        <v>93</v>
      </c>
      <c r="AR6" s="42" t="s">
        <v>94</v>
      </c>
      <c r="AS6" s="42" t="s">
        <v>83</v>
      </c>
      <c r="AT6" s="42" t="s">
        <v>84</v>
      </c>
      <c r="AU6" s="43" t="s">
        <v>53</v>
      </c>
      <c r="AV6" s="44"/>
      <c r="AW6" s="42" t="s">
        <v>85</v>
      </c>
      <c r="AX6" s="42" t="s">
        <v>86</v>
      </c>
      <c r="AY6" s="42" t="s">
        <v>87</v>
      </c>
      <c r="AZ6" s="42" t="s">
        <v>88</v>
      </c>
      <c r="BA6" s="42" t="s">
        <v>89</v>
      </c>
      <c r="BB6" s="42" t="s">
        <v>90</v>
      </c>
      <c r="BC6" s="42" t="s">
        <v>91</v>
      </c>
      <c r="BD6" s="42" t="s">
        <v>92</v>
      </c>
      <c r="BE6" s="42" t="s">
        <v>93</v>
      </c>
      <c r="BF6" s="42" t="s">
        <v>94</v>
      </c>
      <c r="BG6" s="42" t="s">
        <v>83</v>
      </c>
      <c r="BH6" s="42" t="s">
        <v>84</v>
      </c>
      <c r="BI6" s="43" t="s">
        <v>53</v>
      </c>
      <c r="BJ6" s="44"/>
      <c r="BK6" s="42" t="s">
        <v>85</v>
      </c>
      <c r="BL6" s="42" t="s">
        <v>86</v>
      </c>
      <c r="BM6" s="42" t="s">
        <v>87</v>
      </c>
      <c r="BN6" s="42" t="s">
        <v>88</v>
      </c>
      <c r="BO6" s="42" t="s">
        <v>89</v>
      </c>
      <c r="BP6" s="42" t="s">
        <v>90</v>
      </c>
      <c r="BQ6" s="42" t="s">
        <v>91</v>
      </c>
      <c r="BR6" s="42" t="s">
        <v>92</v>
      </c>
      <c r="BS6" s="42" t="s">
        <v>93</v>
      </c>
      <c r="BT6" s="42" t="s">
        <v>94</v>
      </c>
      <c r="BU6" s="42" t="s">
        <v>83</v>
      </c>
      <c r="BV6" s="42" t="s">
        <v>84</v>
      </c>
      <c r="BW6" s="43" t="s">
        <v>53</v>
      </c>
    </row>
    <row r="7" spans="1:75" x14ac:dyDescent="0.2">
      <c r="A7" s="45" t="s">
        <v>54</v>
      </c>
      <c r="B7" s="45"/>
      <c r="C7" s="46"/>
      <c r="D7" s="46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5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5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5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5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5"/>
    </row>
    <row r="8" spans="1:75" x14ac:dyDescent="0.2">
      <c r="A8" s="47" t="s">
        <v>6</v>
      </c>
      <c r="B8" s="47"/>
      <c r="C8" s="47">
        <v>0</v>
      </c>
      <c r="D8" s="47">
        <v>0</v>
      </c>
      <c r="E8" s="48">
        <f>SUM(C8:D8)</f>
        <v>0</v>
      </c>
      <c r="F8" s="47"/>
      <c r="G8" s="47">
        <v>4000</v>
      </c>
      <c r="H8" s="47">
        <v>4000</v>
      </c>
      <c r="I8" s="47">
        <v>6000</v>
      </c>
      <c r="J8" s="47">
        <v>7000</v>
      </c>
      <c r="K8" s="47">
        <v>8000</v>
      </c>
      <c r="L8" s="47">
        <v>10000</v>
      </c>
      <c r="M8" s="47">
        <v>12000</v>
      </c>
      <c r="N8" s="47">
        <v>15000</v>
      </c>
      <c r="O8" s="47">
        <v>15000</v>
      </c>
      <c r="P8" s="47">
        <v>15000</v>
      </c>
      <c r="Q8" s="47">
        <v>16000</v>
      </c>
      <c r="R8" s="47">
        <v>16000</v>
      </c>
      <c r="S8" s="48">
        <f t="shared" ref="S8:S10" si="0">SUM(G8:R8)</f>
        <v>128000</v>
      </c>
      <c r="T8" s="47"/>
      <c r="U8" s="47">
        <v>16000</v>
      </c>
      <c r="V8" s="47">
        <v>16000</v>
      </c>
      <c r="W8" s="47">
        <v>17000</v>
      </c>
      <c r="X8" s="47">
        <v>18000</v>
      </c>
      <c r="Y8" s="47">
        <v>19000</v>
      </c>
      <c r="Z8" s="47">
        <v>21000</v>
      </c>
      <c r="AA8" s="47">
        <v>22000</v>
      </c>
      <c r="AB8" s="47">
        <v>22000</v>
      </c>
      <c r="AC8" s="47">
        <v>22000</v>
      </c>
      <c r="AD8" s="47">
        <v>20000</v>
      </c>
      <c r="AE8" s="47">
        <v>18000</v>
      </c>
      <c r="AF8" s="47">
        <v>18000</v>
      </c>
      <c r="AG8" s="48">
        <f t="shared" ref="AG8:AG10" si="1">SUM(U8:AF8)</f>
        <v>229000</v>
      </c>
      <c r="AH8" s="47"/>
      <c r="AI8" s="47">
        <v>18000</v>
      </c>
      <c r="AJ8" s="47">
        <v>18000</v>
      </c>
      <c r="AK8" s="47">
        <v>20000</v>
      </c>
      <c r="AL8" s="47">
        <v>22000</v>
      </c>
      <c r="AM8" s="47">
        <v>25000</v>
      </c>
      <c r="AN8" s="47">
        <v>27000</v>
      </c>
      <c r="AO8" s="47">
        <v>32000</v>
      </c>
      <c r="AP8" s="47">
        <v>32000</v>
      </c>
      <c r="AQ8" s="47">
        <v>28000</v>
      </c>
      <c r="AR8" s="47">
        <v>28000</v>
      </c>
      <c r="AS8" s="47">
        <v>28000</v>
      </c>
      <c r="AT8" s="47">
        <v>26000</v>
      </c>
      <c r="AU8" s="48">
        <f t="shared" ref="AU8:AU10" si="2">SUM(AI8:AT8)</f>
        <v>304000</v>
      </c>
      <c r="AV8" s="47"/>
      <c r="AW8" s="47">
        <v>26000</v>
      </c>
      <c r="AX8" s="47">
        <v>24000</v>
      </c>
      <c r="AY8" s="47">
        <v>26000</v>
      </c>
      <c r="AZ8" s="47">
        <v>27000</v>
      </c>
      <c r="BA8" s="47">
        <v>29000</v>
      </c>
      <c r="BB8" s="47">
        <v>32000</v>
      </c>
      <c r="BC8" s="47">
        <v>35000</v>
      </c>
      <c r="BD8" s="47">
        <v>38000</v>
      </c>
      <c r="BE8" s="47">
        <v>35000</v>
      </c>
      <c r="BF8" s="47">
        <v>34000</v>
      </c>
      <c r="BG8" s="47">
        <v>30000</v>
      </c>
      <c r="BH8" s="47">
        <v>28000</v>
      </c>
      <c r="BI8" s="48">
        <f t="shared" ref="BI8:BI10" si="3">SUM(AW8:BH8)</f>
        <v>364000</v>
      </c>
      <c r="BJ8" s="47"/>
      <c r="BK8" s="47">
        <v>28000</v>
      </c>
      <c r="BL8" s="47">
        <v>26000</v>
      </c>
      <c r="BM8" s="47">
        <v>28000</v>
      </c>
      <c r="BN8" s="47">
        <v>29000</v>
      </c>
      <c r="BO8" s="47">
        <v>31000</v>
      </c>
      <c r="BP8" s="47">
        <v>24000</v>
      </c>
      <c r="BQ8" s="47">
        <v>37000</v>
      </c>
      <c r="BR8" s="47">
        <v>40000</v>
      </c>
      <c r="BS8" s="47">
        <v>37000</v>
      </c>
      <c r="BT8" s="47">
        <v>36000</v>
      </c>
      <c r="BU8" s="47">
        <v>32000</v>
      </c>
      <c r="BV8" s="47">
        <v>30000</v>
      </c>
      <c r="BW8" s="48">
        <f t="shared" ref="BW8:BW10" si="4">SUM(BK8:BV8)</f>
        <v>378000</v>
      </c>
    </row>
    <row r="9" spans="1:75" x14ac:dyDescent="0.2">
      <c r="A9" s="46" t="s">
        <v>95</v>
      </c>
      <c r="B9" s="46"/>
      <c r="C9" s="46"/>
      <c r="D9" s="46"/>
      <c r="E9" s="45"/>
      <c r="F9" s="46"/>
      <c r="G9" s="49">
        <f t="shared" ref="G9:R9" si="5">(G8*0.5)*0.49</f>
        <v>980</v>
      </c>
      <c r="H9" s="49">
        <f t="shared" si="5"/>
        <v>980</v>
      </c>
      <c r="I9" s="49">
        <f t="shared" si="5"/>
        <v>1470</v>
      </c>
      <c r="J9" s="49">
        <f t="shared" si="5"/>
        <v>1715</v>
      </c>
      <c r="K9" s="49">
        <f t="shared" si="5"/>
        <v>1960</v>
      </c>
      <c r="L9" s="49">
        <f t="shared" si="5"/>
        <v>2450</v>
      </c>
      <c r="M9" s="49">
        <f t="shared" si="5"/>
        <v>2940</v>
      </c>
      <c r="N9" s="49">
        <f t="shared" si="5"/>
        <v>3675</v>
      </c>
      <c r="O9" s="49">
        <f t="shared" si="5"/>
        <v>3675</v>
      </c>
      <c r="P9" s="49">
        <f t="shared" si="5"/>
        <v>3675</v>
      </c>
      <c r="Q9" s="49">
        <f t="shared" si="5"/>
        <v>3920</v>
      </c>
      <c r="R9" s="49">
        <f t="shared" si="5"/>
        <v>3920</v>
      </c>
      <c r="S9" s="45">
        <f t="shared" si="0"/>
        <v>31360</v>
      </c>
      <c r="T9" s="46"/>
      <c r="U9" s="49">
        <f t="shared" ref="U9:AF9" si="6">(U8*0.5)*0.49</f>
        <v>3920</v>
      </c>
      <c r="V9" s="49">
        <f t="shared" si="6"/>
        <v>3920</v>
      </c>
      <c r="W9" s="49">
        <f t="shared" si="6"/>
        <v>4165</v>
      </c>
      <c r="X9" s="49">
        <f t="shared" si="6"/>
        <v>4410</v>
      </c>
      <c r="Y9" s="49">
        <f t="shared" si="6"/>
        <v>4655</v>
      </c>
      <c r="Z9" s="49">
        <f t="shared" si="6"/>
        <v>5145</v>
      </c>
      <c r="AA9" s="49">
        <f t="shared" si="6"/>
        <v>5390</v>
      </c>
      <c r="AB9" s="49">
        <f t="shared" si="6"/>
        <v>5390</v>
      </c>
      <c r="AC9" s="49">
        <f t="shared" si="6"/>
        <v>5390</v>
      </c>
      <c r="AD9" s="49">
        <f t="shared" si="6"/>
        <v>4900</v>
      </c>
      <c r="AE9" s="49">
        <f t="shared" si="6"/>
        <v>4410</v>
      </c>
      <c r="AF9" s="49">
        <f t="shared" si="6"/>
        <v>4410</v>
      </c>
      <c r="AG9" s="45">
        <f t="shared" si="1"/>
        <v>56105</v>
      </c>
      <c r="AH9" s="46"/>
      <c r="AI9" s="49">
        <f t="shared" ref="AI9:AT9" si="7">(AI8*0.5)*0.49</f>
        <v>4410</v>
      </c>
      <c r="AJ9" s="49">
        <f t="shared" si="7"/>
        <v>4410</v>
      </c>
      <c r="AK9" s="49">
        <f t="shared" si="7"/>
        <v>4900</v>
      </c>
      <c r="AL9" s="49">
        <f t="shared" si="7"/>
        <v>5390</v>
      </c>
      <c r="AM9" s="49">
        <f t="shared" si="7"/>
        <v>6125</v>
      </c>
      <c r="AN9" s="49">
        <f t="shared" si="7"/>
        <v>6615</v>
      </c>
      <c r="AO9" s="49">
        <f t="shared" si="7"/>
        <v>7840</v>
      </c>
      <c r="AP9" s="49">
        <f t="shared" si="7"/>
        <v>7840</v>
      </c>
      <c r="AQ9" s="49">
        <f t="shared" si="7"/>
        <v>6860</v>
      </c>
      <c r="AR9" s="49">
        <f t="shared" si="7"/>
        <v>6860</v>
      </c>
      <c r="AS9" s="49">
        <f t="shared" si="7"/>
        <v>6860</v>
      </c>
      <c r="AT9" s="49">
        <f t="shared" si="7"/>
        <v>6370</v>
      </c>
      <c r="AU9" s="45">
        <f t="shared" si="2"/>
        <v>74480</v>
      </c>
      <c r="AV9" s="46"/>
      <c r="AW9" s="49">
        <f t="shared" ref="AW9:BH9" si="8">(AW8*0.5)*0.49</f>
        <v>6370</v>
      </c>
      <c r="AX9" s="49">
        <f t="shared" si="8"/>
        <v>5880</v>
      </c>
      <c r="AY9" s="49">
        <f t="shared" si="8"/>
        <v>6370</v>
      </c>
      <c r="AZ9" s="49">
        <f t="shared" si="8"/>
        <v>6615</v>
      </c>
      <c r="BA9" s="49">
        <f t="shared" si="8"/>
        <v>7105</v>
      </c>
      <c r="BB9" s="49">
        <f t="shared" si="8"/>
        <v>7840</v>
      </c>
      <c r="BC9" s="49">
        <f t="shared" si="8"/>
        <v>8575</v>
      </c>
      <c r="BD9" s="49">
        <f t="shared" si="8"/>
        <v>9310</v>
      </c>
      <c r="BE9" s="49">
        <f t="shared" si="8"/>
        <v>8575</v>
      </c>
      <c r="BF9" s="49">
        <f t="shared" si="8"/>
        <v>8330</v>
      </c>
      <c r="BG9" s="49">
        <f t="shared" si="8"/>
        <v>7350</v>
      </c>
      <c r="BH9" s="49">
        <f t="shared" si="8"/>
        <v>6860</v>
      </c>
      <c r="BI9" s="45">
        <f t="shared" si="3"/>
        <v>89180</v>
      </c>
      <c r="BJ9" s="46"/>
      <c r="BK9" s="49">
        <f t="shared" ref="BK9:BV9" si="9">(BK8*0.5)*0.49</f>
        <v>6860</v>
      </c>
      <c r="BL9" s="49">
        <f t="shared" si="9"/>
        <v>6370</v>
      </c>
      <c r="BM9" s="49">
        <f t="shared" si="9"/>
        <v>6860</v>
      </c>
      <c r="BN9" s="49">
        <f t="shared" si="9"/>
        <v>7105</v>
      </c>
      <c r="BO9" s="49">
        <f t="shared" si="9"/>
        <v>7595</v>
      </c>
      <c r="BP9" s="49">
        <f t="shared" si="9"/>
        <v>5880</v>
      </c>
      <c r="BQ9" s="49">
        <f t="shared" si="9"/>
        <v>9065</v>
      </c>
      <c r="BR9" s="49">
        <f t="shared" si="9"/>
        <v>9800</v>
      </c>
      <c r="BS9" s="49">
        <f t="shared" si="9"/>
        <v>9065</v>
      </c>
      <c r="BT9" s="49">
        <f t="shared" si="9"/>
        <v>8820</v>
      </c>
      <c r="BU9" s="49">
        <f t="shared" si="9"/>
        <v>7840</v>
      </c>
      <c r="BV9" s="49">
        <f t="shared" si="9"/>
        <v>7350</v>
      </c>
      <c r="BW9" s="45">
        <f t="shared" si="4"/>
        <v>92610</v>
      </c>
    </row>
    <row r="10" spans="1:75" x14ac:dyDescent="0.2">
      <c r="A10" s="46" t="s">
        <v>8</v>
      </c>
      <c r="B10" s="46"/>
      <c r="C10" s="46"/>
      <c r="D10" s="46"/>
      <c r="E10" s="45"/>
      <c r="F10" s="46"/>
      <c r="G10" s="49">
        <f t="shared" ref="G10:R10" si="10">0.1*G8</f>
        <v>400</v>
      </c>
      <c r="H10" s="49">
        <f t="shared" si="10"/>
        <v>400</v>
      </c>
      <c r="I10" s="49">
        <f t="shared" si="10"/>
        <v>600</v>
      </c>
      <c r="J10" s="49">
        <f t="shared" si="10"/>
        <v>700</v>
      </c>
      <c r="K10" s="49">
        <f t="shared" si="10"/>
        <v>800</v>
      </c>
      <c r="L10" s="49">
        <f t="shared" si="10"/>
        <v>1000</v>
      </c>
      <c r="M10" s="49">
        <f t="shared" si="10"/>
        <v>1200</v>
      </c>
      <c r="N10" s="49">
        <f t="shared" si="10"/>
        <v>1500</v>
      </c>
      <c r="O10" s="49">
        <f t="shared" si="10"/>
        <v>1500</v>
      </c>
      <c r="P10" s="49">
        <f t="shared" si="10"/>
        <v>1500</v>
      </c>
      <c r="Q10" s="49">
        <f t="shared" si="10"/>
        <v>1600</v>
      </c>
      <c r="R10" s="49">
        <f t="shared" si="10"/>
        <v>1600</v>
      </c>
      <c r="S10" s="45">
        <f t="shared" si="0"/>
        <v>12800</v>
      </c>
      <c r="T10" s="46"/>
      <c r="U10" s="46">
        <f t="shared" ref="U10:AF10" si="11">0.1*U8</f>
        <v>1600</v>
      </c>
      <c r="V10" s="46">
        <f t="shared" si="11"/>
        <v>1600</v>
      </c>
      <c r="W10" s="46">
        <f t="shared" si="11"/>
        <v>1700</v>
      </c>
      <c r="X10" s="46">
        <f t="shared" si="11"/>
        <v>1800</v>
      </c>
      <c r="Y10" s="46">
        <f t="shared" si="11"/>
        <v>1900</v>
      </c>
      <c r="Z10" s="46">
        <f t="shared" si="11"/>
        <v>2100</v>
      </c>
      <c r="AA10" s="46">
        <f t="shared" si="11"/>
        <v>2200</v>
      </c>
      <c r="AB10" s="46">
        <f t="shared" si="11"/>
        <v>2200</v>
      </c>
      <c r="AC10" s="46">
        <f t="shared" si="11"/>
        <v>2200</v>
      </c>
      <c r="AD10" s="46">
        <f t="shared" si="11"/>
        <v>2000</v>
      </c>
      <c r="AE10" s="46">
        <f t="shared" si="11"/>
        <v>1800</v>
      </c>
      <c r="AF10" s="46">
        <f t="shared" si="11"/>
        <v>1800</v>
      </c>
      <c r="AG10" s="45">
        <f t="shared" si="1"/>
        <v>22900</v>
      </c>
      <c r="AH10" s="46"/>
      <c r="AI10" s="46">
        <f t="shared" ref="AI10:AT10" si="12">0.1*AI8</f>
        <v>1800</v>
      </c>
      <c r="AJ10" s="46">
        <f t="shared" si="12"/>
        <v>1800</v>
      </c>
      <c r="AK10" s="46">
        <f t="shared" si="12"/>
        <v>2000</v>
      </c>
      <c r="AL10" s="46">
        <f t="shared" si="12"/>
        <v>2200</v>
      </c>
      <c r="AM10" s="46">
        <f t="shared" si="12"/>
        <v>2500</v>
      </c>
      <c r="AN10" s="46">
        <f t="shared" si="12"/>
        <v>2700</v>
      </c>
      <c r="AO10" s="46">
        <f t="shared" si="12"/>
        <v>3200</v>
      </c>
      <c r="AP10" s="46">
        <f t="shared" si="12"/>
        <v>3200</v>
      </c>
      <c r="AQ10" s="46">
        <f t="shared" si="12"/>
        <v>2800</v>
      </c>
      <c r="AR10" s="46">
        <f t="shared" si="12"/>
        <v>2800</v>
      </c>
      <c r="AS10" s="46">
        <f t="shared" si="12"/>
        <v>2800</v>
      </c>
      <c r="AT10" s="46">
        <f t="shared" si="12"/>
        <v>2600</v>
      </c>
      <c r="AU10" s="45">
        <f t="shared" si="2"/>
        <v>30400</v>
      </c>
      <c r="AV10" s="46"/>
      <c r="AW10" s="46">
        <f t="shared" ref="AW10:BH10" si="13">0.1*AW8</f>
        <v>2600</v>
      </c>
      <c r="AX10" s="46">
        <f t="shared" si="13"/>
        <v>2400</v>
      </c>
      <c r="AY10" s="46">
        <f t="shared" si="13"/>
        <v>2600</v>
      </c>
      <c r="AZ10" s="46">
        <f t="shared" si="13"/>
        <v>2700</v>
      </c>
      <c r="BA10" s="46">
        <f t="shared" si="13"/>
        <v>2900</v>
      </c>
      <c r="BB10" s="46">
        <f t="shared" si="13"/>
        <v>3200</v>
      </c>
      <c r="BC10" s="46">
        <f t="shared" si="13"/>
        <v>3500</v>
      </c>
      <c r="BD10" s="46">
        <f t="shared" si="13"/>
        <v>3800</v>
      </c>
      <c r="BE10" s="46">
        <f t="shared" si="13"/>
        <v>3500</v>
      </c>
      <c r="BF10" s="46">
        <f t="shared" si="13"/>
        <v>3400</v>
      </c>
      <c r="BG10" s="46">
        <f t="shared" si="13"/>
        <v>3000</v>
      </c>
      <c r="BH10" s="46">
        <f t="shared" si="13"/>
        <v>2800</v>
      </c>
      <c r="BI10" s="45">
        <f t="shared" si="3"/>
        <v>36400</v>
      </c>
      <c r="BJ10" s="46"/>
      <c r="BK10" s="46">
        <f t="shared" ref="BK10:BV10" si="14">0.1*BK8</f>
        <v>2800</v>
      </c>
      <c r="BL10" s="46">
        <f t="shared" si="14"/>
        <v>2600</v>
      </c>
      <c r="BM10" s="46">
        <f t="shared" si="14"/>
        <v>2800</v>
      </c>
      <c r="BN10" s="46">
        <f t="shared" si="14"/>
        <v>2900</v>
      </c>
      <c r="BO10" s="46">
        <f t="shared" si="14"/>
        <v>3100</v>
      </c>
      <c r="BP10" s="46">
        <f t="shared" si="14"/>
        <v>2400</v>
      </c>
      <c r="BQ10" s="46">
        <f t="shared" si="14"/>
        <v>3700</v>
      </c>
      <c r="BR10" s="46">
        <f t="shared" si="14"/>
        <v>4000</v>
      </c>
      <c r="BS10" s="46">
        <f t="shared" si="14"/>
        <v>3700</v>
      </c>
      <c r="BT10" s="46">
        <f t="shared" si="14"/>
        <v>3600</v>
      </c>
      <c r="BU10" s="46">
        <f t="shared" si="14"/>
        <v>3200</v>
      </c>
      <c r="BV10" s="46">
        <f t="shared" si="14"/>
        <v>3000</v>
      </c>
      <c r="BW10" s="45">
        <f t="shared" si="4"/>
        <v>37800</v>
      </c>
    </row>
    <row r="11" spans="1:75" x14ac:dyDescent="0.2">
      <c r="A11" s="45" t="s">
        <v>96</v>
      </c>
      <c r="B11" s="45"/>
      <c r="C11" s="45">
        <f t="shared" ref="C11:E11" si="15">SUM(C8:C10)</f>
        <v>0</v>
      </c>
      <c r="D11" s="45">
        <f t="shared" si="15"/>
        <v>0</v>
      </c>
      <c r="E11" s="45">
        <f t="shared" si="15"/>
        <v>0</v>
      </c>
      <c r="F11" s="45"/>
      <c r="G11" s="45">
        <f t="shared" ref="G11:S11" si="16">SUM(G8:G10)</f>
        <v>5380</v>
      </c>
      <c r="H11" s="45">
        <f t="shared" si="16"/>
        <v>5380</v>
      </c>
      <c r="I11" s="45">
        <f t="shared" si="16"/>
        <v>8070</v>
      </c>
      <c r="J11" s="45">
        <f t="shared" si="16"/>
        <v>9415</v>
      </c>
      <c r="K11" s="45">
        <f t="shared" si="16"/>
        <v>10760</v>
      </c>
      <c r="L11" s="45">
        <f t="shared" si="16"/>
        <v>13450</v>
      </c>
      <c r="M11" s="45">
        <f t="shared" si="16"/>
        <v>16140</v>
      </c>
      <c r="N11" s="45">
        <f t="shared" si="16"/>
        <v>20175</v>
      </c>
      <c r="O11" s="45">
        <f t="shared" si="16"/>
        <v>20175</v>
      </c>
      <c r="P11" s="45">
        <f t="shared" si="16"/>
        <v>20175</v>
      </c>
      <c r="Q11" s="45">
        <f t="shared" si="16"/>
        <v>21520</v>
      </c>
      <c r="R11" s="45">
        <f t="shared" si="16"/>
        <v>21520</v>
      </c>
      <c r="S11" s="45">
        <f t="shared" si="16"/>
        <v>172160</v>
      </c>
      <c r="T11" s="45"/>
      <c r="U11" s="45">
        <f t="shared" ref="U11:AG11" si="17">SUM(U8:U10)</f>
        <v>21520</v>
      </c>
      <c r="V11" s="45">
        <f t="shared" si="17"/>
        <v>21520</v>
      </c>
      <c r="W11" s="45">
        <f t="shared" si="17"/>
        <v>22865</v>
      </c>
      <c r="X11" s="45">
        <f t="shared" si="17"/>
        <v>24210</v>
      </c>
      <c r="Y11" s="45">
        <f t="shared" si="17"/>
        <v>25555</v>
      </c>
      <c r="Z11" s="45">
        <f t="shared" si="17"/>
        <v>28245</v>
      </c>
      <c r="AA11" s="45">
        <f t="shared" si="17"/>
        <v>29590</v>
      </c>
      <c r="AB11" s="45">
        <f t="shared" si="17"/>
        <v>29590</v>
      </c>
      <c r="AC11" s="45">
        <f t="shared" si="17"/>
        <v>29590</v>
      </c>
      <c r="AD11" s="45">
        <f t="shared" si="17"/>
        <v>26900</v>
      </c>
      <c r="AE11" s="45">
        <f t="shared" si="17"/>
        <v>24210</v>
      </c>
      <c r="AF11" s="45">
        <f t="shared" si="17"/>
        <v>24210</v>
      </c>
      <c r="AG11" s="45">
        <f t="shared" si="17"/>
        <v>308005</v>
      </c>
      <c r="AH11" s="45"/>
      <c r="AI11" s="45">
        <f t="shared" ref="AI11:AU11" si="18">SUM(AI8:AI10)</f>
        <v>24210</v>
      </c>
      <c r="AJ11" s="45">
        <f t="shared" si="18"/>
        <v>24210</v>
      </c>
      <c r="AK11" s="45">
        <f t="shared" si="18"/>
        <v>26900</v>
      </c>
      <c r="AL11" s="45">
        <f t="shared" si="18"/>
        <v>29590</v>
      </c>
      <c r="AM11" s="45">
        <f t="shared" si="18"/>
        <v>33625</v>
      </c>
      <c r="AN11" s="45">
        <f t="shared" si="18"/>
        <v>36315</v>
      </c>
      <c r="AO11" s="45">
        <f t="shared" si="18"/>
        <v>43040</v>
      </c>
      <c r="AP11" s="45">
        <f t="shared" si="18"/>
        <v>43040</v>
      </c>
      <c r="AQ11" s="45">
        <f t="shared" si="18"/>
        <v>37660</v>
      </c>
      <c r="AR11" s="45">
        <f t="shared" si="18"/>
        <v>37660</v>
      </c>
      <c r="AS11" s="45">
        <f t="shared" si="18"/>
        <v>37660</v>
      </c>
      <c r="AT11" s="45">
        <f t="shared" si="18"/>
        <v>34970</v>
      </c>
      <c r="AU11" s="45">
        <f t="shared" si="18"/>
        <v>408880</v>
      </c>
      <c r="AV11" s="45"/>
      <c r="AW11" s="45">
        <f t="shared" ref="AW11:BI11" si="19">SUM(AW8:AW10)</f>
        <v>34970</v>
      </c>
      <c r="AX11" s="45">
        <f t="shared" si="19"/>
        <v>32280</v>
      </c>
      <c r="AY11" s="45">
        <f t="shared" si="19"/>
        <v>34970</v>
      </c>
      <c r="AZ11" s="45">
        <f t="shared" si="19"/>
        <v>36315</v>
      </c>
      <c r="BA11" s="45">
        <f t="shared" si="19"/>
        <v>39005</v>
      </c>
      <c r="BB11" s="45">
        <f t="shared" si="19"/>
        <v>43040</v>
      </c>
      <c r="BC11" s="45">
        <f t="shared" si="19"/>
        <v>47075</v>
      </c>
      <c r="BD11" s="45">
        <f t="shared" si="19"/>
        <v>51110</v>
      </c>
      <c r="BE11" s="45">
        <f t="shared" si="19"/>
        <v>47075</v>
      </c>
      <c r="BF11" s="45">
        <f t="shared" si="19"/>
        <v>45730</v>
      </c>
      <c r="BG11" s="45">
        <f t="shared" si="19"/>
        <v>40350</v>
      </c>
      <c r="BH11" s="45">
        <f t="shared" si="19"/>
        <v>37660</v>
      </c>
      <c r="BI11" s="45">
        <f t="shared" si="19"/>
        <v>489580</v>
      </c>
      <c r="BJ11" s="45"/>
      <c r="BK11" s="45">
        <f t="shared" ref="BK11:BW11" si="20">SUM(BK8:BK10)</f>
        <v>37660</v>
      </c>
      <c r="BL11" s="45">
        <f t="shared" si="20"/>
        <v>34970</v>
      </c>
      <c r="BM11" s="45">
        <f t="shared" si="20"/>
        <v>37660</v>
      </c>
      <c r="BN11" s="45">
        <f t="shared" si="20"/>
        <v>39005</v>
      </c>
      <c r="BO11" s="45">
        <f t="shared" si="20"/>
        <v>41695</v>
      </c>
      <c r="BP11" s="45">
        <f t="shared" si="20"/>
        <v>32280</v>
      </c>
      <c r="BQ11" s="45">
        <f t="shared" si="20"/>
        <v>49765</v>
      </c>
      <c r="BR11" s="45">
        <f t="shared" si="20"/>
        <v>53800</v>
      </c>
      <c r="BS11" s="45">
        <f t="shared" si="20"/>
        <v>49765</v>
      </c>
      <c r="BT11" s="45">
        <f t="shared" si="20"/>
        <v>48420</v>
      </c>
      <c r="BU11" s="45">
        <f t="shared" si="20"/>
        <v>43040</v>
      </c>
      <c r="BV11" s="45">
        <f t="shared" si="20"/>
        <v>40350</v>
      </c>
      <c r="BW11" s="45">
        <f t="shared" si="20"/>
        <v>508410</v>
      </c>
    </row>
    <row r="12" spans="1:75" x14ac:dyDescent="0.2">
      <c r="A12" s="46"/>
      <c r="B12" s="46"/>
      <c r="C12" s="46"/>
      <c r="D12" s="46"/>
      <c r="E12" s="45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5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5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5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5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5"/>
    </row>
    <row r="13" spans="1:75" x14ac:dyDescent="0.2">
      <c r="A13" s="45" t="s">
        <v>59</v>
      </c>
      <c r="B13" s="45"/>
      <c r="C13" s="46"/>
      <c r="D13" s="46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5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5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5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5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5"/>
    </row>
    <row r="14" spans="1:75" x14ac:dyDescent="0.2">
      <c r="A14" s="46" t="s">
        <v>12</v>
      </c>
      <c r="B14" s="46"/>
      <c r="C14" s="46">
        <v>2500</v>
      </c>
      <c r="D14" s="46">
        <v>0</v>
      </c>
      <c r="E14" s="45">
        <f t="shared" ref="E14:E18" si="21">SUM(C14:D14)</f>
        <v>2500</v>
      </c>
      <c r="F14" s="46"/>
      <c r="G14" s="46">
        <v>100</v>
      </c>
      <c r="H14" s="46">
        <v>100</v>
      </c>
      <c r="I14" s="46">
        <v>100</v>
      </c>
      <c r="J14" s="46">
        <v>100</v>
      </c>
      <c r="K14" s="46">
        <v>100</v>
      </c>
      <c r="L14" s="46">
        <v>100</v>
      </c>
      <c r="M14" s="46">
        <v>100</v>
      </c>
      <c r="N14" s="46">
        <v>100</v>
      </c>
      <c r="O14" s="46">
        <v>100</v>
      </c>
      <c r="P14" s="46">
        <v>100</v>
      </c>
      <c r="Q14" s="46">
        <v>100</v>
      </c>
      <c r="R14" s="46">
        <v>100</v>
      </c>
      <c r="S14" s="45">
        <f t="shared" ref="S14:S18" si="22">SUM(G14:R14)</f>
        <v>1200</v>
      </c>
      <c r="T14" s="46"/>
      <c r="U14" s="46">
        <v>100</v>
      </c>
      <c r="V14" s="46">
        <v>100</v>
      </c>
      <c r="W14" s="46">
        <v>100</v>
      </c>
      <c r="X14" s="46">
        <v>100</v>
      </c>
      <c r="Y14" s="46">
        <v>100</v>
      </c>
      <c r="Z14" s="46">
        <v>100</v>
      </c>
      <c r="AA14" s="46">
        <v>100</v>
      </c>
      <c r="AB14" s="46">
        <v>100</v>
      </c>
      <c r="AC14" s="46">
        <v>100</v>
      </c>
      <c r="AD14" s="46">
        <v>100</v>
      </c>
      <c r="AE14" s="46">
        <v>100</v>
      </c>
      <c r="AF14" s="46">
        <v>100</v>
      </c>
      <c r="AG14" s="45">
        <f t="shared" ref="AG14:AG23" si="23">SUM(U14:AF14)</f>
        <v>1200</v>
      </c>
      <c r="AH14" s="46"/>
      <c r="AI14" s="46">
        <v>100</v>
      </c>
      <c r="AJ14" s="46">
        <v>100</v>
      </c>
      <c r="AK14" s="46">
        <v>100</v>
      </c>
      <c r="AL14" s="46">
        <v>100</v>
      </c>
      <c r="AM14" s="46">
        <v>100</v>
      </c>
      <c r="AN14" s="46">
        <v>100</v>
      </c>
      <c r="AO14" s="46">
        <v>100</v>
      </c>
      <c r="AP14" s="46">
        <v>100</v>
      </c>
      <c r="AQ14" s="46">
        <v>100</v>
      </c>
      <c r="AR14" s="46">
        <v>100</v>
      </c>
      <c r="AS14" s="46">
        <v>100</v>
      </c>
      <c r="AT14" s="46">
        <v>100</v>
      </c>
      <c r="AU14" s="45">
        <f t="shared" ref="AU14:AU23" si="24">SUM(AI14:AT14)</f>
        <v>1200</v>
      </c>
      <c r="AV14" s="46"/>
      <c r="AW14" s="46">
        <v>100</v>
      </c>
      <c r="AX14" s="46">
        <v>100</v>
      </c>
      <c r="AY14" s="46">
        <v>100</v>
      </c>
      <c r="AZ14" s="46">
        <v>100</v>
      </c>
      <c r="BA14" s="46">
        <v>100</v>
      </c>
      <c r="BB14" s="46">
        <v>100</v>
      </c>
      <c r="BC14" s="46">
        <v>100</v>
      </c>
      <c r="BD14" s="46">
        <v>100</v>
      </c>
      <c r="BE14" s="46">
        <v>100</v>
      </c>
      <c r="BF14" s="46">
        <v>100</v>
      </c>
      <c r="BG14" s="46">
        <v>100</v>
      </c>
      <c r="BH14" s="46">
        <v>100</v>
      </c>
      <c r="BI14" s="45">
        <f t="shared" ref="BI14:BI23" si="25">SUM(AW14:BH14)</f>
        <v>1200</v>
      </c>
      <c r="BJ14" s="46"/>
      <c r="BK14" s="46">
        <v>100</v>
      </c>
      <c r="BL14" s="46">
        <v>100</v>
      </c>
      <c r="BM14" s="46">
        <v>100</v>
      </c>
      <c r="BN14" s="46">
        <v>100</v>
      </c>
      <c r="BO14" s="46">
        <v>100</v>
      </c>
      <c r="BP14" s="46">
        <v>100</v>
      </c>
      <c r="BQ14" s="46">
        <v>100</v>
      </c>
      <c r="BR14" s="46">
        <v>100</v>
      </c>
      <c r="BS14" s="46">
        <v>100</v>
      </c>
      <c r="BT14" s="46">
        <v>100</v>
      </c>
      <c r="BU14" s="46">
        <v>100</v>
      </c>
      <c r="BV14" s="46">
        <v>100</v>
      </c>
      <c r="BW14" s="45">
        <f t="shared" ref="BW14:BW23" si="26">SUM(BK14:BV14)</f>
        <v>1200</v>
      </c>
    </row>
    <row r="15" spans="1:75" x14ac:dyDescent="0.2">
      <c r="A15" s="46" t="s">
        <v>97</v>
      </c>
      <c r="B15" s="46"/>
      <c r="C15" s="46">
        <v>0</v>
      </c>
      <c r="D15" s="46">
        <v>0</v>
      </c>
      <c r="E15" s="45">
        <f t="shared" si="21"/>
        <v>0</v>
      </c>
      <c r="F15" s="46"/>
      <c r="G15" s="46">
        <v>2500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5">
        <f t="shared" si="22"/>
        <v>2500</v>
      </c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5">
        <f t="shared" si="23"/>
        <v>0</v>
      </c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5">
        <f t="shared" si="24"/>
        <v>0</v>
      </c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5">
        <f t="shared" si="25"/>
        <v>0</v>
      </c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5">
        <f t="shared" si="26"/>
        <v>0</v>
      </c>
    </row>
    <row r="16" spans="1:75" x14ac:dyDescent="0.2">
      <c r="A16" s="46" t="s">
        <v>14</v>
      </c>
      <c r="B16" s="46"/>
      <c r="C16" s="46">
        <v>0</v>
      </c>
      <c r="D16" s="46">
        <v>0</v>
      </c>
      <c r="E16" s="45">
        <f t="shared" si="21"/>
        <v>0</v>
      </c>
      <c r="F16" s="46"/>
      <c r="G16" s="46">
        <f t="shared" ref="G16:R16" si="27">0.05*G8</f>
        <v>200</v>
      </c>
      <c r="H16" s="46">
        <f t="shared" si="27"/>
        <v>200</v>
      </c>
      <c r="I16" s="46">
        <f t="shared" si="27"/>
        <v>300</v>
      </c>
      <c r="J16" s="46">
        <f t="shared" si="27"/>
        <v>350</v>
      </c>
      <c r="K16" s="46">
        <f t="shared" si="27"/>
        <v>400</v>
      </c>
      <c r="L16" s="46">
        <f t="shared" si="27"/>
        <v>500</v>
      </c>
      <c r="M16" s="46">
        <f t="shared" si="27"/>
        <v>600</v>
      </c>
      <c r="N16" s="46">
        <f t="shared" si="27"/>
        <v>750</v>
      </c>
      <c r="O16" s="46">
        <f t="shared" si="27"/>
        <v>750</v>
      </c>
      <c r="P16" s="46">
        <f t="shared" si="27"/>
        <v>750</v>
      </c>
      <c r="Q16" s="46">
        <f t="shared" si="27"/>
        <v>800</v>
      </c>
      <c r="R16" s="46">
        <f t="shared" si="27"/>
        <v>800</v>
      </c>
      <c r="S16" s="45">
        <f t="shared" si="22"/>
        <v>6400</v>
      </c>
      <c r="T16" s="46"/>
      <c r="U16" s="46">
        <f t="shared" ref="U16:AF16" si="28">0.05*U8</f>
        <v>800</v>
      </c>
      <c r="V16" s="46">
        <f t="shared" si="28"/>
        <v>800</v>
      </c>
      <c r="W16" s="46">
        <f t="shared" si="28"/>
        <v>850</v>
      </c>
      <c r="X16" s="46">
        <f t="shared" si="28"/>
        <v>900</v>
      </c>
      <c r="Y16" s="46">
        <f t="shared" si="28"/>
        <v>950</v>
      </c>
      <c r="Z16" s="46">
        <f t="shared" si="28"/>
        <v>1050</v>
      </c>
      <c r="AA16" s="46">
        <f t="shared" si="28"/>
        <v>1100</v>
      </c>
      <c r="AB16" s="46">
        <f t="shared" si="28"/>
        <v>1100</v>
      </c>
      <c r="AC16" s="46">
        <f t="shared" si="28"/>
        <v>1100</v>
      </c>
      <c r="AD16" s="46">
        <f t="shared" si="28"/>
        <v>1000</v>
      </c>
      <c r="AE16" s="46">
        <f t="shared" si="28"/>
        <v>900</v>
      </c>
      <c r="AF16" s="46">
        <f t="shared" si="28"/>
        <v>900</v>
      </c>
      <c r="AG16" s="45">
        <f t="shared" si="23"/>
        <v>11450</v>
      </c>
      <c r="AH16" s="46"/>
      <c r="AI16" s="46">
        <f t="shared" ref="AI16:AT16" si="29">0.05*AI8</f>
        <v>900</v>
      </c>
      <c r="AJ16" s="46">
        <f t="shared" si="29"/>
        <v>900</v>
      </c>
      <c r="AK16" s="46">
        <f t="shared" si="29"/>
        <v>1000</v>
      </c>
      <c r="AL16" s="46">
        <f t="shared" si="29"/>
        <v>1100</v>
      </c>
      <c r="AM16" s="46">
        <f t="shared" si="29"/>
        <v>1250</v>
      </c>
      <c r="AN16" s="46">
        <f t="shared" si="29"/>
        <v>1350</v>
      </c>
      <c r="AO16" s="46">
        <f t="shared" si="29"/>
        <v>1600</v>
      </c>
      <c r="AP16" s="46">
        <f t="shared" si="29"/>
        <v>1600</v>
      </c>
      <c r="AQ16" s="46">
        <f t="shared" si="29"/>
        <v>1400</v>
      </c>
      <c r="AR16" s="46">
        <f t="shared" si="29"/>
        <v>1400</v>
      </c>
      <c r="AS16" s="46">
        <f t="shared" si="29"/>
        <v>1400</v>
      </c>
      <c r="AT16" s="46">
        <f t="shared" si="29"/>
        <v>1300</v>
      </c>
      <c r="AU16" s="45">
        <f t="shared" si="24"/>
        <v>15200</v>
      </c>
      <c r="AV16" s="46"/>
      <c r="AW16" s="46">
        <f t="shared" ref="AW16:BH16" si="30">0.05*AW8</f>
        <v>1300</v>
      </c>
      <c r="AX16" s="46">
        <f t="shared" si="30"/>
        <v>1200</v>
      </c>
      <c r="AY16" s="46">
        <f t="shared" si="30"/>
        <v>1300</v>
      </c>
      <c r="AZ16" s="46">
        <f t="shared" si="30"/>
        <v>1350</v>
      </c>
      <c r="BA16" s="46">
        <f t="shared" si="30"/>
        <v>1450</v>
      </c>
      <c r="BB16" s="46">
        <f t="shared" si="30"/>
        <v>1600</v>
      </c>
      <c r="BC16" s="46">
        <f t="shared" si="30"/>
        <v>1750</v>
      </c>
      <c r="BD16" s="46">
        <f t="shared" si="30"/>
        <v>1900</v>
      </c>
      <c r="BE16" s="46">
        <f t="shared" si="30"/>
        <v>1750</v>
      </c>
      <c r="BF16" s="46">
        <f t="shared" si="30"/>
        <v>1700</v>
      </c>
      <c r="BG16" s="46">
        <f t="shared" si="30"/>
        <v>1500</v>
      </c>
      <c r="BH16" s="46">
        <f t="shared" si="30"/>
        <v>1400</v>
      </c>
      <c r="BI16" s="45">
        <f t="shared" si="25"/>
        <v>18200</v>
      </c>
      <c r="BJ16" s="46"/>
      <c r="BK16" s="46">
        <f t="shared" ref="BK16:BV16" si="31">0.05*BK8</f>
        <v>1400</v>
      </c>
      <c r="BL16" s="46">
        <f t="shared" si="31"/>
        <v>1300</v>
      </c>
      <c r="BM16" s="46">
        <f t="shared" si="31"/>
        <v>1400</v>
      </c>
      <c r="BN16" s="46">
        <f t="shared" si="31"/>
        <v>1450</v>
      </c>
      <c r="BO16" s="46">
        <f t="shared" si="31"/>
        <v>1550</v>
      </c>
      <c r="BP16" s="46">
        <f t="shared" si="31"/>
        <v>1200</v>
      </c>
      <c r="BQ16" s="46">
        <f t="shared" si="31"/>
        <v>1850</v>
      </c>
      <c r="BR16" s="46">
        <f t="shared" si="31"/>
        <v>2000</v>
      </c>
      <c r="BS16" s="46">
        <f t="shared" si="31"/>
        <v>1850</v>
      </c>
      <c r="BT16" s="46">
        <f t="shared" si="31"/>
        <v>1800</v>
      </c>
      <c r="BU16" s="46">
        <f t="shared" si="31"/>
        <v>1600</v>
      </c>
      <c r="BV16" s="46">
        <f t="shared" si="31"/>
        <v>1500</v>
      </c>
      <c r="BW16" s="45">
        <f t="shared" si="26"/>
        <v>18900</v>
      </c>
    </row>
    <row r="17" spans="1:75" ht="15.75" customHeight="1" x14ac:dyDescent="0.2">
      <c r="A17" s="46" t="s">
        <v>16</v>
      </c>
      <c r="B17" s="46"/>
      <c r="C17" s="46">
        <v>0</v>
      </c>
      <c r="D17" s="46">
        <v>0</v>
      </c>
      <c r="E17" s="45">
        <f t="shared" si="21"/>
        <v>0</v>
      </c>
      <c r="F17" s="46"/>
      <c r="G17" s="46">
        <v>290</v>
      </c>
      <c r="H17" s="46">
        <v>290</v>
      </c>
      <c r="I17" s="46">
        <v>290</v>
      </c>
      <c r="J17" s="46">
        <v>290</v>
      </c>
      <c r="K17" s="46">
        <v>290</v>
      </c>
      <c r="L17" s="46">
        <v>290</v>
      </c>
      <c r="M17" s="46">
        <v>290</v>
      </c>
      <c r="N17" s="46">
        <v>290</v>
      </c>
      <c r="O17" s="46">
        <v>290</v>
      </c>
      <c r="P17" s="46">
        <v>290</v>
      </c>
      <c r="Q17" s="46">
        <v>290</v>
      </c>
      <c r="R17" s="46">
        <v>290</v>
      </c>
      <c r="S17" s="45">
        <f t="shared" si="22"/>
        <v>3480</v>
      </c>
      <c r="T17" s="46"/>
      <c r="U17" s="46">
        <v>290</v>
      </c>
      <c r="V17" s="46">
        <v>290</v>
      </c>
      <c r="W17" s="46">
        <v>290</v>
      </c>
      <c r="X17" s="46">
        <v>290</v>
      </c>
      <c r="Y17" s="46">
        <v>290</v>
      </c>
      <c r="Z17" s="46">
        <v>290</v>
      </c>
      <c r="AA17" s="46">
        <v>290</v>
      </c>
      <c r="AB17" s="46">
        <v>290</v>
      </c>
      <c r="AC17" s="46">
        <v>290</v>
      </c>
      <c r="AD17" s="46">
        <v>290</v>
      </c>
      <c r="AE17" s="46">
        <v>290</v>
      </c>
      <c r="AF17" s="46">
        <v>290</v>
      </c>
      <c r="AG17" s="45">
        <f t="shared" si="23"/>
        <v>3480</v>
      </c>
      <c r="AH17" s="46"/>
      <c r="AI17" s="46">
        <v>290</v>
      </c>
      <c r="AJ17" s="46">
        <v>290</v>
      </c>
      <c r="AK17" s="46">
        <v>290</v>
      </c>
      <c r="AL17" s="46">
        <v>290</v>
      </c>
      <c r="AM17" s="46">
        <v>290</v>
      </c>
      <c r="AN17" s="46">
        <v>290</v>
      </c>
      <c r="AO17" s="46">
        <v>290</v>
      </c>
      <c r="AP17" s="46">
        <v>290</v>
      </c>
      <c r="AQ17" s="46">
        <v>290</v>
      </c>
      <c r="AR17" s="46">
        <v>290</v>
      </c>
      <c r="AS17" s="46">
        <v>290</v>
      </c>
      <c r="AT17" s="46">
        <v>290</v>
      </c>
      <c r="AU17" s="45">
        <f t="shared" si="24"/>
        <v>3480</v>
      </c>
      <c r="AV17" s="46"/>
      <c r="AW17" s="46">
        <v>290</v>
      </c>
      <c r="AX17" s="46">
        <v>290</v>
      </c>
      <c r="AY17" s="46">
        <v>290</v>
      </c>
      <c r="AZ17" s="46">
        <v>290</v>
      </c>
      <c r="BA17" s="46">
        <v>290</v>
      </c>
      <c r="BB17" s="46">
        <v>290</v>
      </c>
      <c r="BC17" s="46">
        <v>290</v>
      </c>
      <c r="BD17" s="46">
        <v>290</v>
      </c>
      <c r="BE17" s="46">
        <v>290</v>
      </c>
      <c r="BF17" s="46">
        <v>290</v>
      </c>
      <c r="BG17" s="46">
        <v>290</v>
      </c>
      <c r="BH17" s="46">
        <v>290</v>
      </c>
      <c r="BI17" s="45">
        <f t="shared" si="25"/>
        <v>3480</v>
      </c>
      <c r="BJ17" s="46"/>
      <c r="BK17" s="46">
        <v>290</v>
      </c>
      <c r="BL17" s="46">
        <v>290</v>
      </c>
      <c r="BM17" s="46">
        <v>290</v>
      </c>
      <c r="BN17" s="46">
        <v>290</v>
      </c>
      <c r="BO17" s="46">
        <v>290</v>
      </c>
      <c r="BP17" s="46">
        <v>290</v>
      </c>
      <c r="BQ17" s="46">
        <v>290</v>
      </c>
      <c r="BR17" s="46">
        <v>290</v>
      </c>
      <c r="BS17" s="46">
        <v>290</v>
      </c>
      <c r="BT17" s="46">
        <v>290</v>
      </c>
      <c r="BU17" s="46">
        <v>290</v>
      </c>
      <c r="BV17" s="46">
        <v>290</v>
      </c>
      <c r="BW17" s="45">
        <f t="shared" si="26"/>
        <v>3480</v>
      </c>
    </row>
    <row r="18" spans="1:75" ht="15.75" customHeight="1" x14ac:dyDescent="0.2">
      <c r="A18" s="46" t="s">
        <v>18</v>
      </c>
      <c r="B18" s="46"/>
      <c r="C18" s="46">
        <v>100</v>
      </c>
      <c r="D18" s="46">
        <v>100</v>
      </c>
      <c r="E18" s="45">
        <f t="shared" si="21"/>
        <v>200</v>
      </c>
      <c r="F18" s="46"/>
      <c r="G18" s="46">
        <f t="shared" ref="G18:R18" si="32">0.1*G8</f>
        <v>400</v>
      </c>
      <c r="H18" s="46">
        <f t="shared" si="32"/>
        <v>400</v>
      </c>
      <c r="I18" s="46">
        <f t="shared" si="32"/>
        <v>600</v>
      </c>
      <c r="J18" s="46">
        <f t="shared" si="32"/>
        <v>700</v>
      </c>
      <c r="K18" s="46">
        <f t="shared" si="32"/>
        <v>800</v>
      </c>
      <c r="L18" s="46">
        <f t="shared" si="32"/>
        <v>1000</v>
      </c>
      <c r="M18" s="46">
        <f t="shared" si="32"/>
        <v>1200</v>
      </c>
      <c r="N18" s="46">
        <f t="shared" si="32"/>
        <v>1500</v>
      </c>
      <c r="O18" s="46">
        <f t="shared" si="32"/>
        <v>1500</v>
      </c>
      <c r="P18" s="46">
        <f t="shared" si="32"/>
        <v>1500</v>
      </c>
      <c r="Q18" s="46">
        <f t="shared" si="32"/>
        <v>1600</v>
      </c>
      <c r="R18" s="46">
        <f t="shared" si="32"/>
        <v>1600</v>
      </c>
      <c r="S18" s="45">
        <f t="shared" si="22"/>
        <v>12800</v>
      </c>
      <c r="T18" s="46"/>
      <c r="U18" s="46">
        <f t="shared" ref="U18:AF18" si="33">0.1*U8</f>
        <v>1600</v>
      </c>
      <c r="V18" s="46">
        <f t="shared" si="33"/>
        <v>1600</v>
      </c>
      <c r="W18" s="46">
        <f t="shared" si="33"/>
        <v>1700</v>
      </c>
      <c r="X18" s="46">
        <f t="shared" si="33"/>
        <v>1800</v>
      </c>
      <c r="Y18" s="46">
        <f t="shared" si="33"/>
        <v>1900</v>
      </c>
      <c r="Z18" s="46">
        <f t="shared" si="33"/>
        <v>2100</v>
      </c>
      <c r="AA18" s="46">
        <f t="shared" si="33"/>
        <v>2200</v>
      </c>
      <c r="AB18" s="46">
        <f t="shared" si="33"/>
        <v>2200</v>
      </c>
      <c r="AC18" s="46">
        <f t="shared" si="33"/>
        <v>2200</v>
      </c>
      <c r="AD18" s="46">
        <f t="shared" si="33"/>
        <v>2000</v>
      </c>
      <c r="AE18" s="46">
        <f t="shared" si="33"/>
        <v>1800</v>
      </c>
      <c r="AF18" s="46">
        <f t="shared" si="33"/>
        <v>1800</v>
      </c>
      <c r="AG18" s="45">
        <f t="shared" si="23"/>
        <v>22900</v>
      </c>
      <c r="AH18" s="46"/>
      <c r="AI18" s="46">
        <f t="shared" ref="AI18:AT18" si="34">0.1*AI8</f>
        <v>1800</v>
      </c>
      <c r="AJ18" s="46">
        <f t="shared" si="34"/>
        <v>1800</v>
      </c>
      <c r="AK18" s="46">
        <f t="shared" si="34"/>
        <v>2000</v>
      </c>
      <c r="AL18" s="46">
        <f t="shared" si="34"/>
        <v>2200</v>
      </c>
      <c r="AM18" s="46">
        <f t="shared" si="34"/>
        <v>2500</v>
      </c>
      <c r="AN18" s="46">
        <f t="shared" si="34"/>
        <v>2700</v>
      </c>
      <c r="AO18" s="46">
        <f t="shared" si="34"/>
        <v>3200</v>
      </c>
      <c r="AP18" s="46">
        <f t="shared" si="34"/>
        <v>3200</v>
      </c>
      <c r="AQ18" s="46">
        <f t="shared" si="34"/>
        <v>2800</v>
      </c>
      <c r="AR18" s="46">
        <f t="shared" si="34"/>
        <v>2800</v>
      </c>
      <c r="AS18" s="46">
        <f t="shared" si="34"/>
        <v>2800</v>
      </c>
      <c r="AT18" s="46">
        <f t="shared" si="34"/>
        <v>2600</v>
      </c>
      <c r="AU18" s="45">
        <f t="shared" si="24"/>
        <v>30400</v>
      </c>
      <c r="AV18" s="46"/>
      <c r="AW18" s="46">
        <f t="shared" ref="AW18:BH18" si="35">0.1*AW8</f>
        <v>2600</v>
      </c>
      <c r="AX18" s="46">
        <f t="shared" si="35"/>
        <v>2400</v>
      </c>
      <c r="AY18" s="46">
        <f t="shared" si="35"/>
        <v>2600</v>
      </c>
      <c r="AZ18" s="46">
        <f t="shared" si="35"/>
        <v>2700</v>
      </c>
      <c r="BA18" s="46">
        <f t="shared" si="35"/>
        <v>2900</v>
      </c>
      <c r="BB18" s="46">
        <f t="shared" si="35"/>
        <v>3200</v>
      </c>
      <c r="BC18" s="46">
        <f t="shared" si="35"/>
        <v>3500</v>
      </c>
      <c r="BD18" s="46">
        <f t="shared" si="35"/>
        <v>3800</v>
      </c>
      <c r="BE18" s="46">
        <f t="shared" si="35"/>
        <v>3500</v>
      </c>
      <c r="BF18" s="46">
        <f t="shared" si="35"/>
        <v>3400</v>
      </c>
      <c r="BG18" s="46">
        <f t="shared" si="35"/>
        <v>3000</v>
      </c>
      <c r="BH18" s="46">
        <f t="shared" si="35"/>
        <v>2800</v>
      </c>
      <c r="BI18" s="45">
        <f t="shared" si="25"/>
        <v>36400</v>
      </c>
      <c r="BJ18" s="46"/>
      <c r="BK18" s="46">
        <f t="shared" ref="BK18:BV18" si="36">0.1*BK8</f>
        <v>2800</v>
      </c>
      <c r="BL18" s="46">
        <f t="shared" si="36"/>
        <v>2600</v>
      </c>
      <c r="BM18" s="46">
        <f t="shared" si="36"/>
        <v>2800</v>
      </c>
      <c r="BN18" s="46">
        <f t="shared" si="36"/>
        <v>2900</v>
      </c>
      <c r="BO18" s="46">
        <f t="shared" si="36"/>
        <v>3100</v>
      </c>
      <c r="BP18" s="46">
        <f t="shared" si="36"/>
        <v>2400</v>
      </c>
      <c r="BQ18" s="46">
        <f t="shared" si="36"/>
        <v>3700</v>
      </c>
      <c r="BR18" s="46">
        <f t="shared" si="36"/>
        <v>4000</v>
      </c>
      <c r="BS18" s="46">
        <f t="shared" si="36"/>
        <v>3700</v>
      </c>
      <c r="BT18" s="46">
        <f t="shared" si="36"/>
        <v>3600</v>
      </c>
      <c r="BU18" s="46">
        <f t="shared" si="36"/>
        <v>3200</v>
      </c>
      <c r="BV18" s="46">
        <f t="shared" si="36"/>
        <v>3000</v>
      </c>
      <c r="BW18" s="45">
        <f t="shared" si="26"/>
        <v>37800</v>
      </c>
    </row>
    <row r="19" spans="1:75" ht="15.75" customHeight="1" x14ac:dyDescent="0.2">
      <c r="A19" s="46" t="s">
        <v>98</v>
      </c>
      <c r="B19" s="46"/>
      <c r="C19" s="46"/>
      <c r="D19" s="46"/>
      <c r="E19" s="45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5"/>
      <c r="T19" s="46"/>
      <c r="U19" s="46">
        <f t="shared" ref="U19:AF19" si="37">U11*17/100</f>
        <v>3658.4</v>
      </c>
      <c r="V19" s="46">
        <f t="shared" si="37"/>
        <v>3658.4</v>
      </c>
      <c r="W19" s="46">
        <f t="shared" si="37"/>
        <v>3887.05</v>
      </c>
      <c r="X19" s="46">
        <f t="shared" si="37"/>
        <v>4115.7</v>
      </c>
      <c r="Y19" s="46">
        <f t="shared" si="37"/>
        <v>4344.3500000000004</v>
      </c>
      <c r="Z19" s="46">
        <f t="shared" si="37"/>
        <v>4801.6499999999996</v>
      </c>
      <c r="AA19" s="46">
        <f t="shared" si="37"/>
        <v>5030.3</v>
      </c>
      <c r="AB19" s="46">
        <f t="shared" si="37"/>
        <v>5030.3</v>
      </c>
      <c r="AC19" s="46">
        <f t="shared" si="37"/>
        <v>5030.3</v>
      </c>
      <c r="AD19" s="46">
        <f t="shared" si="37"/>
        <v>4573</v>
      </c>
      <c r="AE19" s="46">
        <f t="shared" si="37"/>
        <v>4115.7</v>
      </c>
      <c r="AF19" s="46">
        <f t="shared" si="37"/>
        <v>4115.7</v>
      </c>
      <c r="AG19" s="45">
        <f t="shared" si="23"/>
        <v>52360.85</v>
      </c>
      <c r="AH19" s="46"/>
      <c r="AI19" s="46">
        <f t="shared" ref="AI19:AT19" si="38">AI11*17/100</f>
        <v>4115.7</v>
      </c>
      <c r="AJ19" s="46">
        <f t="shared" si="38"/>
        <v>4115.7</v>
      </c>
      <c r="AK19" s="46">
        <f t="shared" si="38"/>
        <v>4573</v>
      </c>
      <c r="AL19" s="46">
        <f t="shared" si="38"/>
        <v>5030.3</v>
      </c>
      <c r="AM19" s="46">
        <f t="shared" si="38"/>
        <v>5716.25</v>
      </c>
      <c r="AN19" s="46">
        <f t="shared" si="38"/>
        <v>6173.55</v>
      </c>
      <c r="AO19" s="46">
        <f t="shared" si="38"/>
        <v>7316.8</v>
      </c>
      <c r="AP19" s="46">
        <f t="shared" si="38"/>
        <v>7316.8</v>
      </c>
      <c r="AQ19" s="46">
        <f t="shared" si="38"/>
        <v>6402.2</v>
      </c>
      <c r="AR19" s="46">
        <f t="shared" si="38"/>
        <v>6402.2</v>
      </c>
      <c r="AS19" s="46">
        <f t="shared" si="38"/>
        <v>6402.2</v>
      </c>
      <c r="AT19" s="46">
        <f t="shared" si="38"/>
        <v>5944.9</v>
      </c>
      <c r="AU19" s="45">
        <f t="shared" si="24"/>
        <v>69509.599999999991</v>
      </c>
      <c r="AV19" s="46"/>
      <c r="AW19" s="46">
        <f t="shared" ref="AW19:BH19" si="39">AW11*17/100</f>
        <v>5944.9</v>
      </c>
      <c r="AX19" s="46">
        <f t="shared" si="39"/>
        <v>5487.6</v>
      </c>
      <c r="AY19" s="46">
        <f t="shared" si="39"/>
        <v>5944.9</v>
      </c>
      <c r="AZ19" s="46">
        <f t="shared" si="39"/>
        <v>6173.55</v>
      </c>
      <c r="BA19" s="46">
        <f t="shared" si="39"/>
        <v>6630.85</v>
      </c>
      <c r="BB19" s="46">
        <f t="shared" si="39"/>
        <v>7316.8</v>
      </c>
      <c r="BC19" s="46">
        <f t="shared" si="39"/>
        <v>8002.75</v>
      </c>
      <c r="BD19" s="46">
        <f t="shared" si="39"/>
        <v>8688.7000000000007</v>
      </c>
      <c r="BE19" s="46">
        <f t="shared" si="39"/>
        <v>8002.75</v>
      </c>
      <c r="BF19" s="46">
        <f t="shared" si="39"/>
        <v>7774.1</v>
      </c>
      <c r="BG19" s="46">
        <f t="shared" si="39"/>
        <v>6859.5</v>
      </c>
      <c r="BH19" s="46">
        <f t="shared" si="39"/>
        <v>6402.2</v>
      </c>
      <c r="BI19" s="45">
        <f t="shared" si="25"/>
        <v>83228.600000000006</v>
      </c>
      <c r="BJ19" s="46"/>
      <c r="BK19" s="46">
        <f t="shared" ref="BK19:BV19" si="40">BK11*17/100</f>
        <v>6402.2</v>
      </c>
      <c r="BL19" s="46">
        <f t="shared" si="40"/>
        <v>5944.9</v>
      </c>
      <c r="BM19" s="46">
        <f t="shared" si="40"/>
        <v>6402.2</v>
      </c>
      <c r="BN19" s="46">
        <f t="shared" si="40"/>
        <v>6630.85</v>
      </c>
      <c r="BO19" s="46">
        <f t="shared" si="40"/>
        <v>7088.15</v>
      </c>
      <c r="BP19" s="46">
        <f t="shared" si="40"/>
        <v>5487.6</v>
      </c>
      <c r="BQ19" s="46">
        <f t="shared" si="40"/>
        <v>8460.0499999999993</v>
      </c>
      <c r="BR19" s="46">
        <f t="shared" si="40"/>
        <v>9146</v>
      </c>
      <c r="BS19" s="46">
        <f t="shared" si="40"/>
        <v>8460.0499999999993</v>
      </c>
      <c r="BT19" s="46">
        <f t="shared" si="40"/>
        <v>8231.4</v>
      </c>
      <c r="BU19" s="46">
        <f t="shared" si="40"/>
        <v>7316.8</v>
      </c>
      <c r="BV19" s="46">
        <f t="shared" si="40"/>
        <v>6859.5</v>
      </c>
      <c r="BW19" s="45">
        <f t="shared" si="26"/>
        <v>86429.7</v>
      </c>
    </row>
    <row r="20" spans="1:75" ht="15.75" customHeight="1" x14ac:dyDescent="0.2">
      <c r="A20" s="46" t="s">
        <v>99</v>
      </c>
      <c r="B20" s="46"/>
      <c r="C20" s="46">
        <v>0</v>
      </c>
      <c r="D20" s="46">
        <v>0</v>
      </c>
      <c r="E20" s="45">
        <v>0</v>
      </c>
      <c r="F20" s="46"/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4500</v>
      </c>
      <c r="R20" s="46">
        <v>4500</v>
      </c>
      <c r="S20" s="45">
        <f t="shared" ref="S20:S23" si="41">SUM(G20:R20)</f>
        <v>9000</v>
      </c>
      <c r="T20" s="46"/>
      <c r="U20" s="46">
        <v>4525</v>
      </c>
      <c r="V20" s="46">
        <v>4525</v>
      </c>
      <c r="W20" s="46">
        <v>4525</v>
      </c>
      <c r="X20" s="46">
        <v>4525</v>
      </c>
      <c r="Y20" s="46">
        <v>4525</v>
      </c>
      <c r="Z20" s="46">
        <v>4525</v>
      </c>
      <c r="AA20" s="46">
        <v>4525</v>
      </c>
      <c r="AB20" s="46">
        <v>4525</v>
      </c>
      <c r="AC20" s="46">
        <v>4525</v>
      </c>
      <c r="AD20" s="46">
        <v>4525</v>
      </c>
      <c r="AE20" s="46">
        <v>4525</v>
      </c>
      <c r="AF20" s="46">
        <v>4525</v>
      </c>
      <c r="AG20" s="45">
        <f t="shared" si="23"/>
        <v>54300</v>
      </c>
      <c r="AH20" s="46"/>
      <c r="AI20" s="46">
        <v>4550</v>
      </c>
      <c r="AJ20" s="46">
        <v>4550</v>
      </c>
      <c r="AK20" s="46">
        <v>4550</v>
      </c>
      <c r="AL20" s="46">
        <v>4550</v>
      </c>
      <c r="AM20" s="46">
        <v>4550</v>
      </c>
      <c r="AN20" s="46">
        <v>4550</v>
      </c>
      <c r="AO20" s="46">
        <v>4550</v>
      </c>
      <c r="AP20" s="46">
        <v>4550</v>
      </c>
      <c r="AQ20" s="46">
        <v>4550</v>
      </c>
      <c r="AR20" s="46">
        <v>4550</v>
      </c>
      <c r="AS20" s="46">
        <v>4550</v>
      </c>
      <c r="AT20" s="46">
        <v>4550</v>
      </c>
      <c r="AU20" s="45">
        <f t="shared" si="24"/>
        <v>54600</v>
      </c>
      <c r="AV20" s="46"/>
      <c r="AW20" s="46">
        <v>4575</v>
      </c>
      <c r="AX20" s="46">
        <v>4575</v>
      </c>
      <c r="AY20" s="46">
        <v>4575</v>
      </c>
      <c r="AZ20" s="46">
        <v>4575</v>
      </c>
      <c r="BA20" s="46">
        <v>4575</v>
      </c>
      <c r="BB20" s="46">
        <v>4575</v>
      </c>
      <c r="BC20" s="46">
        <v>4575</v>
      </c>
      <c r="BD20" s="46">
        <v>4575</v>
      </c>
      <c r="BE20" s="46">
        <v>4575</v>
      </c>
      <c r="BF20" s="46">
        <v>4575</v>
      </c>
      <c r="BG20" s="46">
        <v>4575</v>
      </c>
      <c r="BH20" s="46">
        <v>4575</v>
      </c>
      <c r="BI20" s="45">
        <f t="shared" si="25"/>
        <v>54900</v>
      </c>
      <c r="BJ20" s="46"/>
      <c r="BK20" s="46">
        <v>4600</v>
      </c>
      <c r="BL20" s="46">
        <v>4600</v>
      </c>
      <c r="BM20" s="46">
        <v>4600</v>
      </c>
      <c r="BN20" s="46">
        <v>4600</v>
      </c>
      <c r="BO20" s="46">
        <v>4600</v>
      </c>
      <c r="BP20" s="46">
        <v>4600</v>
      </c>
      <c r="BQ20" s="46">
        <v>4600</v>
      </c>
      <c r="BR20" s="46">
        <v>4600</v>
      </c>
      <c r="BS20" s="46">
        <v>4600</v>
      </c>
      <c r="BT20" s="46">
        <v>4600</v>
      </c>
      <c r="BU20" s="46">
        <v>4600</v>
      </c>
      <c r="BV20" s="46">
        <v>4600</v>
      </c>
      <c r="BW20" s="45">
        <f t="shared" si="26"/>
        <v>55200</v>
      </c>
    </row>
    <row r="21" spans="1:75" ht="15.75" customHeight="1" x14ac:dyDescent="0.2">
      <c r="A21" s="46" t="s">
        <v>24</v>
      </c>
      <c r="B21" s="46"/>
      <c r="C21" s="46">
        <v>0</v>
      </c>
      <c r="D21" s="46">
        <v>0</v>
      </c>
      <c r="E21" s="45">
        <f t="shared" ref="E21:E24" si="42">SUM(C21:D21)</f>
        <v>0</v>
      </c>
      <c r="F21" s="46"/>
      <c r="G21" s="46">
        <v>0</v>
      </c>
      <c r="H21" s="46">
        <v>200</v>
      </c>
      <c r="I21" s="46">
        <v>200</v>
      </c>
      <c r="J21" s="46">
        <v>200</v>
      </c>
      <c r="K21" s="46">
        <v>200</v>
      </c>
      <c r="L21" s="46">
        <v>200</v>
      </c>
      <c r="M21" s="46">
        <v>200</v>
      </c>
      <c r="N21" s="46">
        <v>200</v>
      </c>
      <c r="O21" s="46">
        <v>200</v>
      </c>
      <c r="P21" s="46">
        <v>200</v>
      </c>
      <c r="Q21" s="46">
        <v>200</v>
      </c>
      <c r="R21" s="46">
        <v>200</v>
      </c>
      <c r="S21" s="45">
        <f t="shared" si="41"/>
        <v>2200</v>
      </c>
      <c r="T21" s="46"/>
      <c r="U21" s="46">
        <v>200</v>
      </c>
      <c r="V21" s="46">
        <v>200</v>
      </c>
      <c r="W21" s="46">
        <v>200</v>
      </c>
      <c r="X21" s="46">
        <v>200</v>
      </c>
      <c r="Y21" s="46">
        <v>200</v>
      </c>
      <c r="Z21" s="46">
        <v>200</v>
      </c>
      <c r="AA21" s="46">
        <v>200</v>
      </c>
      <c r="AB21" s="46">
        <v>200</v>
      </c>
      <c r="AC21" s="46">
        <v>200</v>
      </c>
      <c r="AD21" s="46">
        <v>200</v>
      </c>
      <c r="AE21" s="46">
        <v>200</v>
      </c>
      <c r="AF21" s="46">
        <v>200</v>
      </c>
      <c r="AG21" s="45">
        <f t="shared" si="23"/>
        <v>2400</v>
      </c>
      <c r="AH21" s="46"/>
      <c r="AI21" s="46">
        <v>200</v>
      </c>
      <c r="AJ21" s="46">
        <v>200</v>
      </c>
      <c r="AK21" s="46">
        <v>200</v>
      </c>
      <c r="AL21" s="46">
        <v>200</v>
      </c>
      <c r="AM21" s="46">
        <v>200</v>
      </c>
      <c r="AN21" s="46">
        <v>200</v>
      </c>
      <c r="AO21" s="46">
        <v>200</v>
      </c>
      <c r="AP21" s="46">
        <v>200</v>
      </c>
      <c r="AQ21" s="46">
        <v>200</v>
      </c>
      <c r="AR21" s="46">
        <v>200</v>
      </c>
      <c r="AS21" s="46">
        <v>200</v>
      </c>
      <c r="AT21" s="46">
        <v>200</v>
      </c>
      <c r="AU21" s="45">
        <f t="shared" si="24"/>
        <v>2400</v>
      </c>
      <c r="AV21" s="46"/>
      <c r="AW21" s="46">
        <v>200</v>
      </c>
      <c r="AX21" s="46">
        <v>200</v>
      </c>
      <c r="AY21" s="46">
        <v>200</v>
      </c>
      <c r="AZ21" s="46">
        <v>200</v>
      </c>
      <c r="BA21" s="46">
        <v>200</v>
      </c>
      <c r="BB21" s="46">
        <v>200</v>
      </c>
      <c r="BC21" s="46">
        <v>200</v>
      </c>
      <c r="BD21" s="46">
        <v>200</v>
      </c>
      <c r="BE21" s="46">
        <v>200</v>
      </c>
      <c r="BF21" s="46">
        <v>200</v>
      </c>
      <c r="BG21" s="46">
        <v>200</v>
      </c>
      <c r="BH21" s="46">
        <v>200</v>
      </c>
      <c r="BI21" s="45">
        <f t="shared" si="25"/>
        <v>2400</v>
      </c>
      <c r="BJ21" s="46"/>
      <c r="BK21" s="46">
        <v>200</v>
      </c>
      <c r="BL21" s="46">
        <v>200</v>
      </c>
      <c r="BM21" s="46">
        <v>200</v>
      </c>
      <c r="BN21" s="46">
        <v>200</v>
      </c>
      <c r="BO21" s="46">
        <v>200</v>
      </c>
      <c r="BP21" s="46">
        <v>200</v>
      </c>
      <c r="BQ21" s="46">
        <v>200</v>
      </c>
      <c r="BR21" s="46">
        <v>200</v>
      </c>
      <c r="BS21" s="46">
        <v>200</v>
      </c>
      <c r="BT21" s="46">
        <v>200</v>
      </c>
      <c r="BU21" s="46">
        <v>200</v>
      </c>
      <c r="BV21" s="46">
        <v>200</v>
      </c>
      <c r="BW21" s="45">
        <f t="shared" si="26"/>
        <v>2400</v>
      </c>
    </row>
    <row r="22" spans="1:75" ht="15.75" customHeight="1" x14ac:dyDescent="0.2">
      <c r="A22" s="46" t="s">
        <v>26</v>
      </c>
      <c r="B22" s="46"/>
      <c r="C22" s="46">
        <v>0</v>
      </c>
      <c r="D22" s="46">
        <v>0</v>
      </c>
      <c r="E22" s="45">
        <f t="shared" si="42"/>
        <v>0</v>
      </c>
      <c r="F22" s="46"/>
      <c r="G22" s="46">
        <v>300</v>
      </c>
      <c r="H22" s="46">
        <v>300</v>
      </c>
      <c r="I22" s="46">
        <v>300</v>
      </c>
      <c r="J22" s="46">
        <v>300</v>
      </c>
      <c r="K22" s="46">
        <v>300</v>
      </c>
      <c r="L22" s="46">
        <v>300</v>
      </c>
      <c r="M22" s="46">
        <v>300</v>
      </c>
      <c r="N22" s="46">
        <v>300</v>
      </c>
      <c r="O22" s="46">
        <v>300</v>
      </c>
      <c r="P22" s="46">
        <v>300</v>
      </c>
      <c r="Q22" s="46">
        <v>300</v>
      </c>
      <c r="R22" s="46">
        <v>300</v>
      </c>
      <c r="S22" s="45">
        <f t="shared" si="41"/>
        <v>3600</v>
      </c>
      <c r="T22" s="46"/>
      <c r="U22" s="46">
        <v>300</v>
      </c>
      <c r="V22" s="46">
        <v>300</v>
      </c>
      <c r="W22" s="46">
        <v>300</v>
      </c>
      <c r="X22" s="46">
        <v>300</v>
      </c>
      <c r="Y22" s="46">
        <v>300</v>
      </c>
      <c r="Z22" s="46">
        <v>300</v>
      </c>
      <c r="AA22" s="46">
        <v>300</v>
      </c>
      <c r="AB22" s="46">
        <v>300</v>
      </c>
      <c r="AC22" s="46">
        <v>300</v>
      </c>
      <c r="AD22" s="46">
        <v>300</v>
      </c>
      <c r="AE22" s="46">
        <v>300</v>
      </c>
      <c r="AF22" s="46">
        <v>300</v>
      </c>
      <c r="AG22" s="45">
        <f t="shared" si="23"/>
        <v>3600</v>
      </c>
      <c r="AH22" s="46"/>
      <c r="AI22" s="46">
        <v>300</v>
      </c>
      <c r="AJ22" s="46">
        <v>300</v>
      </c>
      <c r="AK22" s="46">
        <v>300</v>
      </c>
      <c r="AL22" s="46">
        <v>300</v>
      </c>
      <c r="AM22" s="46">
        <v>300</v>
      </c>
      <c r="AN22" s="46">
        <v>300</v>
      </c>
      <c r="AO22" s="46">
        <v>300</v>
      </c>
      <c r="AP22" s="46">
        <v>300</v>
      </c>
      <c r="AQ22" s="46">
        <v>300</v>
      </c>
      <c r="AR22" s="46">
        <v>300</v>
      </c>
      <c r="AS22" s="46">
        <v>300</v>
      </c>
      <c r="AT22" s="46">
        <v>300</v>
      </c>
      <c r="AU22" s="45">
        <f t="shared" si="24"/>
        <v>3600</v>
      </c>
      <c r="AV22" s="46"/>
      <c r="AW22" s="46">
        <v>300</v>
      </c>
      <c r="AX22" s="46">
        <v>300</v>
      </c>
      <c r="AY22" s="46">
        <v>300</v>
      </c>
      <c r="AZ22" s="46">
        <v>300</v>
      </c>
      <c r="BA22" s="46">
        <v>300</v>
      </c>
      <c r="BB22" s="46">
        <v>300</v>
      </c>
      <c r="BC22" s="46">
        <v>300</v>
      </c>
      <c r="BD22" s="46">
        <v>300</v>
      </c>
      <c r="BE22" s="46">
        <v>300</v>
      </c>
      <c r="BF22" s="46">
        <v>300</v>
      </c>
      <c r="BG22" s="46">
        <v>300</v>
      </c>
      <c r="BH22" s="46">
        <v>300</v>
      </c>
      <c r="BI22" s="45">
        <f t="shared" si="25"/>
        <v>3600</v>
      </c>
      <c r="BJ22" s="46"/>
      <c r="BK22" s="46">
        <v>300</v>
      </c>
      <c r="BL22" s="46">
        <v>300</v>
      </c>
      <c r="BM22" s="46">
        <v>300</v>
      </c>
      <c r="BN22" s="46">
        <v>300</v>
      </c>
      <c r="BO22" s="46">
        <v>300</v>
      </c>
      <c r="BP22" s="46">
        <v>300</v>
      </c>
      <c r="BQ22" s="46">
        <v>300</v>
      </c>
      <c r="BR22" s="46">
        <v>300</v>
      </c>
      <c r="BS22" s="46">
        <v>300</v>
      </c>
      <c r="BT22" s="46">
        <v>300</v>
      </c>
      <c r="BU22" s="46">
        <v>300</v>
      </c>
      <c r="BV22" s="46">
        <v>300</v>
      </c>
      <c r="BW22" s="45">
        <f t="shared" si="26"/>
        <v>3600</v>
      </c>
    </row>
    <row r="23" spans="1:75" ht="15.75" customHeight="1" x14ac:dyDescent="0.2">
      <c r="A23" s="46" t="s">
        <v>67</v>
      </c>
      <c r="B23" s="46"/>
      <c r="C23" s="50">
        <v>0</v>
      </c>
      <c r="D23" s="50">
        <v>0</v>
      </c>
      <c r="E23" s="51">
        <f t="shared" si="42"/>
        <v>0</v>
      </c>
      <c r="F23" s="50"/>
      <c r="G23" s="50">
        <v>150</v>
      </c>
      <c r="H23" s="50">
        <v>150</v>
      </c>
      <c r="I23" s="50">
        <v>150</v>
      </c>
      <c r="J23" s="50">
        <v>150</v>
      </c>
      <c r="K23" s="50">
        <v>150</v>
      </c>
      <c r="L23" s="50">
        <v>150</v>
      </c>
      <c r="M23" s="50">
        <v>150</v>
      </c>
      <c r="N23" s="50">
        <v>150</v>
      </c>
      <c r="O23" s="50">
        <v>150</v>
      </c>
      <c r="P23" s="50">
        <v>150</v>
      </c>
      <c r="Q23" s="50">
        <v>150</v>
      </c>
      <c r="R23" s="50">
        <v>150</v>
      </c>
      <c r="S23" s="51">
        <f t="shared" si="41"/>
        <v>1800</v>
      </c>
      <c r="T23" s="50"/>
      <c r="U23" s="50">
        <v>150</v>
      </c>
      <c r="V23" s="50">
        <v>150</v>
      </c>
      <c r="W23" s="50">
        <v>150</v>
      </c>
      <c r="X23" s="50">
        <v>150</v>
      </c>
      <c r="Y23" s="50">
        <v>150</v>
      </c>
      <c r="Z23" s="50">
        <v>150</v>
      </c>
      <c r="AA23" s="50">
        <v>150</v>
      </c>
      <c r="AB23" s="50">
        <v>150</v>
      </c>
      <c r="AC23" s="50">
        <v>150</v>
      </c>
      <c r="AD23" s="50">
        <v>150</v>
      </c>
      <c r="AE23" s="50">
        <v>150</v>
      </c>
      <c r="AF23" s="50">
        <v>150</v>
      </c>
      <c r="AG23" s="51">
        <f t="shared" si="23"/>
        <v>1800</v>
      </c>
      <c r="AH23" s="50"/>
      <c r="AI23" s="50">
        <v>150</v>
      </c>
      <c r="AJ23" s="50">
        <v>150</v>
      </c>
      <c r="AK23" s="50">
        <v>150</v>
      </c>
      <c r="AL23" s="50">
        <v>150</v>
      </c>
      <c r="AM23" s="50">
        <v>150</v>
      </c>
      <c r="AN23" s="50">
        <v>150</v>
      </c>
      <c r="AO23" s="50">
        <v>150</v>
      </c>
      <c r="AP23" s="50">
        <v>150</v>
      </c>
      <c r="AQ23" s="50">
        <v>150</v>
      </c>
      <c r="AR23" s="50">
        <v>150</v>
      </c>
      <c r="AS23" s="50">
        <v>150</v>
      </c>
      <c r="AT23" s="50">
        <v>150</v>
      </c>
      <c r="AU23" s="51">
        <f t="shared" si="24"/>
        <v>1800</v>
      </c>
      <c r="AV23" s="50"/>
      <c r="AW23" s="50">
        <v>150</v>
      </c>
      <c r="AX23" s="50">
        <v>150</v>
      </c>
      <c r="AY23" s="50">
        <v>150</v>
      </c>
      <c r="AZ23" s="50">
        <v>150</v>
      </c>
      <c r="BA23" s="50">
        <v>150</v>
      </c>
      <c r="BB23" s="50">
        <v>150</v>
      </c>
      <c r="BC23" s="50">
        <v>150</v>
      </c>
      <c r="BD23" s="50">
        <v>150</v>
      </c>
      <c r="BE23" s="50">
        <v>150</v>
      </c>
      <c r="BF23" s="50">
        <v>150</v>
      </c>
      <c r="BG23" s="50">
        <v>150</v>
      </c>
      <c r="BH23" s="50">
        <v>150</v>
      </c>
      <c r="BI23" s="51">
        <f t="shared" si="25"/>
        <v>1800</v>
      </c>
      <c r="BJ23" s="50"/>
      <c r="BK23" s="50">
        <v>150</v>
      </c>
      <c r="BL23" s="50">
        <v>150</v>
      </c>
      <c r="BM23" s="50">
        <v>150</v>
      </c>
      <c r="BN23" s="50">
        <v>150</v>
      </c>
      <c r="BO23" s="50">
        <v>150</v>
      </c>
      <c r="BP23" s="50">
        <v>150</v>
      </c>
      <c r="BQ23" s="50">
        <v>150</v>
      </c>
      <c r="BR23" s="50">
        <v>150</v>
      </c>
      <c r="BS23" s="50">
        <v>150</v>
      </c>
      <c r="BT23" s="50">
        <v>150</v>
      </c>
      <c r="BU23" s="50">
        <v>150</v>
      </c>
      <c r="BV23" s="50">
        <v>150</v>
      </c>
      <c r="BW23" s="51">
        <f t="shared" si="26"/>
        <v>1800</v>
      </c>
    </row>
    <row r="24" spans="1:75" ht="15.75" customHeight="1" x14ac:dyDescent="0.2">
      <c r="A24" s="45" t="s">
        <v>68</v>
      </c>
      <c r="B24" s="45"/>
      <c r="C24" s="45">
        <f t="shared" ref="C24:D24" si="43">SUM(C14:C23)</f>
        <v>2600</v>
      </c>
      <c r="D24" s="45">
        <f t="shared" si="43"/>
        <v>100</v>
      </c>
      <c r="E24" s="45">
        <f t="shared" si="42"/>
        <v>2700</v>
      </c>
      <c r="F24" s="45"/>
      <c r="G24" s="45">
        <f t="shared" ref="G24:S24" si="44">SUM(G14:G23)</f>
        <v>3940</v>
      </c>
      <c r="H24" s="45">
        <f t="shared" si="44"/>
        <v>1640</v>
      </c>
      <c r="I24" s="45">
        <f t="shared" si="44"/>
        <v>1940</v>
      </c>
      <c r="J24" s="45">
        <f t="shared" si="44"/>
        <v>2090</v>
      </c>
      <c r="K24" s="45">
        <f t="shared" si="44"/>
        <v>2240</v>
      </c>
      <c r="L24" s="45">
        <f t="shared" si="44"/>
        <v>2540</v>
      </c>
      <c r="M24" s="45">
        <f t="shared" si="44"/>
        <v>2840</v>
      </c>
      <c r="N24" s="45">
        <f t="shared" si="44"/>
        <v>3290</v>
      </c>
      <c r="O24" s="45">
        <f t="shared" si="44"/>
        <v>3290</v>
      </c>
      <c r="P24" s="45">
        <f t="shared" si="44"/>
        <v>3290</v>
      </c>
      <c r="Q24" s="45">
        <f t="shared" si="44"/>
        <v>7940</v>
      </c>
      <c r="R24" s="45">
        <f t="shared" si="44"/>
        <v>7940</v>
      </c>
      <c r="S24" s="45">
        <f t="shared" si="44"/>
        <v>42980</v>
      </c>
      <c r="T24" s="45"/>
      <c r="U24" s="45">
        <f t="shared" ref="U24:AG24" si="45">SUM(U14:U23)</f>
        <v>11623.4</v>
      </c>
      <c r="V24" s="45">
        <f t="shared" si="45"/>
        <v>11623.4</v>
      </c>
      <c r="W24" s="45">
        <f t="shared" si="45"/>
        <v>12002.05</v>
      </c>
      <c r="X24" s="45">
        <f t="shared" si="45"/>
        <v>12380.7</v>
      </c>
      <c r="Y24" s="45">
        <f t="shared" si="45"/>
        <v>12759.35</v>
      </c>
      <c r="Z24" s="45">
        <f t="shared" si="45"/>
        <v>13516.65</v>
      </c>
      <c r="AA24" s="45">
        <f t="shared" si="45"/>
        <v>13895.3</v>
      </c>
      <c r="AB24" s="45">
        <f t="shared" si="45"/>
        <v>13895.3</v>
      </c>
      <c r="AC24" s="45">
        <f t="shared" si="45"/>
        <v>13895.3</v>
      </c>
      <c r="AD24" s="45">
        <f t="shared" si="45"/>
        <v>13138</v>
      </c>
      <c r="AE24" s="45">
        <f t="shared" si="45"/>
        <v>12380.7</v>
      </c>
      <c r="AF24" s="45">
        <f t="shared" si="45"/>
        <v>12380.7</v>
      </c>
      <c r="AG24" s="45">
        <f t="shared" si="45"/>
        <v>153490.85</v>
      </c>
      <c r="AH24" s="45"/>
      <c r="AI24" s="45">
        <f t="shared" ref="AI24:AU24" si="46">SUM(AI14:AI23)</f>
        <v>12405.7</v>
      </c>
      <c r="AJ24" s="45">
        <f t="shared" si="46"/>
        <v>12405.7</v>
      </c>
      <c r="AK24" s="45">
        <f t="shared" si="46"/>
        <v>13163</v>
      </c>
      <c r="AL24" s="45">
        <f t="shared" si="46"/>
        <v>13920.3</v>
      </c>
      <c r="AM24" s="45">
        <f t="shared" si="46"/>
        <v>15056.25</v>
      </c>
      <c r="AN24" s="45">
        <f t="shared" si="46"/>
        <v>15813.55</v>
      </c>
      <c r="AO24" s="45">
        <f t="shared" si="46"/>
        <v>17706.8</v>
      </c>
      <c r="AP24" s="45">
        <f t="shared" si="46"/>
        <v>17706.8</v>
      </c>
      <c r="AQ24" s="45">
        <f t="shared" si="46"/>
        <v>16192.2</v>
      </c>
      <c r="AR24" s="45">
        <f t="shared" si="46"/>
        <v>16192.2</v>
      </c>
      <c r="AS24" s="45">
        <f t="shared" si="46"/>
        <v>16192.2</v>
      </c>
      <c r="AT24" s="45">
        <f t="shared" si="46"/>
        <v>15434.9</v>
      </c>
      <c r="AU24" s="45">
        <f t="shared" si="46"/>
        <v>182189.59999999998</v>
      </c>
      <c r="AV24" s="45"/>
      <c r="AW24" s="45">
        <f t="shared" ref="AW24:BI24" si="47">SUM(AW14:AW23)</f>
        <v>15459.9</v>
      </c>
      <c r="AX24" s="45">
        <f t="shared" si="47"/>
        <v>14702.6</v>
      </c>
      <c r="AY24" s="45">
        <f t="shared" si="47"/>
        <v>15459.9</v>
      </c>
      <c r="AZ24" s="45">
        <f t="shared" si="47"/>
        <v>15838.55</v>
      </c>
      <c r="BA24" s="45">
        <f t="shared" si="47"/>
        <v>16595.849999999999</v>
      </c>
      <c r="BB24" s="45">
        <f t="shared" si="47"/>
        <v>17731.8</v>
      </c>
      <c r="BC24" s="45">
        <f t="shared" si="47"/>
        <v>18867.75</v>
      </c>
      <c r="BD24" s="45">
        <f t="shared" si="47"/>
        <v>20003.7</v>
      </c>
      <c r="BE24" s="45">
        <f t="shared" si="47"/>
        <v>18867.75</v>
      </c>
      <c r="BF24" s="45">
        <f t="shared" si="47"/>
        <v>18489.099999999999</v>
      </c>
      <c r="BG24" s="45">
        <f t="shared" si="47"/>
        <v>16974.5</v>
      </c>
      <c r="BH24" s="45">
        <f t="shared" si="47"/>
        <v>16217.2</v>
      </c>
      <c r="BI24" s="45">
        <f t="shared" si="47"/>
        <v>205208.6</v>
      </c>
      <c r="BJ24" s="45"/>
      <c r="BK24" s="45">
        <f t="shared" ref="BK24:BW24" si="48">SUM(BK14:BK23)</f>
        <v>16242.2</v>
      </c>
      <c r="BL24" s="45">
        <f t="shared" si="48"/>
        <v>15484.9</v>
      </c>
      <c r="BM24" s="45">
        <f t="shared" si="48"/>
        <v>16242.2</v>
      </c>
      <c r="BN24" s="45">
        <f t="shared" si="48"/>
        <v>16620.849999999999</v>
      </c>
      <c r="BO24" s="45">
        <f t="shared" si="48"/>
        <v>17378.150000000001</v>
      </c>
      <c r="BP24" s="45">
        <f t="shared" si="48"/>
        <v>14727.6</v>
      </c>
      <c r="BQ24" s="45">
        <f t="shared" si="48"/>
        <v>19650.05</v>
      </c>
      <c r="BR24" s="45">
        <f t="shared" si="48"/>
        <v>20786</v>
      </c>
      <c r="BS24" s="45">
        <f t="shared" si="48"/>
        <v>19650.05</v>
      </c>
      <c r="BT24" s="45">
        <f t="shared" si="48"/>
        <v>19271.400000000001</v>
      </c>
      <c r="BU24" s="45">
        <f t="shared" si="48"/>
        <v>17756.8</v>
      </c>
      <c r="BV24" s="45">
        <f t="shared" si="48"/>
        <v>16999.5</v>
      </c>
      <c r="BW24" s="45">
        <f t="shared" si="48"/>
        <v>210809.7</v>
      </c>
    </row>
    <row r="25" spans="1:75" ht="15.75" customHeight="1" x14ac:dyDescent="0.2">
      <c r="A25" s="45"/>
      <c r="B25" s="45"/>
      <c r="C25" s="45"/>
      <c r="D25" s="45"/>
      <c r="E25" s="45"/>
      <c r="F25" s="45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45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45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45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45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</row>
    <row r="26" spans="1:75" ht="15.75" customHeight="1" x14ac:dyDescent="0.2">
      <c r="A26" s="53" t="s">
        <v>69</v>
      </c>
      <c r="B26" s="53"/>
      <c r="C26" s="53">
        <f t="shared" ref="C26:D26" si="49">C11-C24</f>
        <v>-2600</v>
      </c>
      <c r="D26" s="53">
        <f t="shared" si="49"/>
        <v>-100</v>
      </c>
      <c r="E26" s="53">
        <f>SUM(C26:D26)</f>
        <v>-2700</v>
      </c>
      <c r="F26" s="53"/>
      <c r="G26" s="53">
        <f t="shared" ref="G26:S26" si="50">G11-G24</f>
        <v>1440</v>
      </c>
      <c r="H26" s="53">
        <f t="shared" si="50"/>
        <v>3740</v>
      </c>
      <c r="I26" s="53">
        <f t="shared" si="50"/>
        <v>6130</v>
      </c>
      <c r="J26" s="53">
        <f t="shared" si="50"/>
        <v>7325</v>
      </c>
      <c r="K26" s="53">
        <f t="shared" si="50"/>
        <v>8520</v>
      </c>
      <c r="L26" s="53">
        <f t="shared" si="50"/>
        <v>10910</v>
      </c>
      <c r="M26" s="53">
        <f t="shared" si="50"/>
        <v>13300</v>
      </c>
      <c r="N26" s="53">
        <f t="shared" si="50"/>
        <v>16885</v>
      </c>
      <c r="O26" s="53">
        <f t="shared" si="50"/>
        <v>16885</v>
      </c>
      <c r="P26" s="53">
        <f t="shared" si="50"/>
        <v>16885</v>
      </c>
      <c r="Q26" s="53">
        <f t="shared" si="50"/>
        <v>13580</v>
      </c>
      <c r="R26" s="53">
        <f t="shared" si="50"/>
        <v>13580</v>
      </c>
      <c r="S26" s="53">
        <f t="shared" si="50"/>
        <v>129180</v>
      </c>
      <c r="T26" s="53"/>
      <c r="U26" s="53">
        <f t="shared" ref="U26:AG26" si="51">U11-U24</f>
        <v>9896.6</v>
      </c>
      <c r="V26" s="53">
        <f t="shared" si="51"/>
        <v>9896.6</v>
      </c>
      <c r="W26" s="53">
        <f t="shared" si="51"/>
        <v>10862.95</v>
      </c>
      <c r="X26" s="53">
        <f t="shared" si="51"/>
        <v>11829.3</v>
      </c>
      <c r="Y26" s="53">
        <f t="shared" si="51"/>
        <v>12795.65</v>
      </c>
      <c r="Z26" s="53">
        <f t="shared" si="51"/>
        <v>14728.35</v>
      </c>
      <c r="AA26" s="53">
        <f t="shared" si="51"/>
        <v>15694.7</v>
      </c>
      <c r="AB26" s="53">
        <f t="shared" si="51"/>
        <v>15694.7</v>
      </c>
      <c r="AC26" s="53">
        <f t="shared" si="51"/>
        <v>15694.7</v>
      </c>
      <c r="AD26" s="53">
        <f t="shared" si="51"/>
        <v>13762</v>
      </c>
      <c r="AE26" s="53">
        <f t="shared" si="51"/>
        <v>11829.3</v>
      </c>
      <c r="AF26" s="53">
        <f t="shared" si="51"/>
        <v>11829.3</v>
      </c>
      <c r="AG26" s="53">
        <f t="shared" si="51"/>
        <v>154514.15</v>
      </c>
      <c r="AH26" s="53"/>
      <c r="AI26" s="53">
        <f t="shared" ref="AI26:AU26" si="52">AI11-AI24</f>
        <v>11804.3</v>
      </c>
      <c r="AJ26" s="53">
        <f t="shared" si="52"/>
        <v>11804.3</v>
      </c>
      <c r="AK26" s="53">
        <f t="shared" si="52"/>
        <v>13737</v>
      </c>
      <c r="AL26" s="53">
        <f t="shared" si="52"/>
        <v>15669.7</v>
      </c>
      <c r="AM26" s="53">
        <f t="shared" si="52"/>
        <v>18568.75</v>
      </c>
      <c r="AN26" s="53">
        <f t="shared" si="52"/>
        <v>20501.45</v>
      </c>
      <c r="AO26" s="53">
        <f t="shared" si="52"/>
        <v>25333.200000000001</v>
      </c>
      <c r="AP26" s="53">
        <f t="shared" si="52"/>
        <v>25333.200000000001</v>
      </c>
      <c r="AQ26" s="53">
        <f t="shared" si="52"/>
        <v>21467.8</v>
      </c>
      <c r="AR26" s="53">
        <f t="shared" si="52"/>
        <v>21467.8</v>
      </c>
      <c r="AS26" s="53">
        <f t="shared" si="52"/>
        <v>21467.8</v>
      </c>
      <c r="AT26" s="53">
        <f t="shared" si="52"/>
        <v>19535.099999999999</v>
      </c>
      <c r="AU26" s="53">
        <f t="shared" si="52"/>
        <v>226690.40000000002</v>
      </c>
      <c r="AV26" s="53"/>
      <c r="AW26" s="53">
        <f t="shared" ref="AW26:BI26" si="53">AW11-AW24</f>
        <v>19510.099999999999</v>
      </c>
      <c r="AX26" s="53">
        <f t="shared" si="53"/>
        <v>17577.400000000001</v>
      </c>
      <c r="AY26" s="53">
        <f t="shared" si="53"/>
        <v>19510.099999999999</v>
      </c>
      <c r="AZ26" s="53">
        <f t="shared" si="53"/>
        <v>20476.45</v>
      </c>
      <c r="BA26" s="53">
        <f t="shared" si="53"/>
        <v>22409.15</v>
      </c>
      <c r="BB26" s="53">
        <f t="shared" si="53"/>
        <v>25308.2</v>
      </c>
      <c r="BC26" s="53">
        <f t="shared" si="53"/>
        <v>28207.25</v>
      </c>
      <c r="BD26" s="53">
        <f t="shared" si="53"/>
        <v>31106.3</v>
      </c>
      <c r="BE26" s="53">
        <f t="shared" si="53"/>
        <v>28207.25</v>
      </c>
      <c r="BF26" s="53">
        <f t="shared" si="53"/>
        <v>27240.9</v>
      </c>
      <c r="BG26" s="53">
        <f t="shared" si="53"/>
        <v>23375.5</v>
      </c>
      <c r="BH26" s="53">
        <f t="shared" si="53"/>
        <v>21442.799999999999</v>
      </c>
      <c r="BI26" s="53">
        <f t="shared" si="53"/>
        <v>284371.40000000002</v>
      </c>
      <c r="BJ26" s="53"/>
      <c r="BK26" s="53">
        <f t="shared" ref="BK26:BW26" si="54">BK11-BK24</f>
        <v>21417.8</v>
      </c>
      <c r="BL26" s="53">
        <f t="shared" si="54"/>
        <v>19485.099999999999</v>
      </c>
      <c r="BM26" s="53">
        <f t="shared" si="54"/>
        <v>21417.8</v>
      </c>
      <c r="BN26" s="53">
        <f t="shared" si="54"/>
        <v>22384.15</v>
      </c>
      <c r="BO26" s="53">
        <f t="shared" si="54"/>
        <v>24316.85</v>
      </c>
      <c r="BP26" s="53">
        <f t="shared" si="54"/>
        <v>17552.400000000001</v>
      </c>
      <c r="BQ26" s="53">
        <f t="shared" si="54"/>
        <v>30114.95</v>
      </c>
      <c r="BR26" s="53">
        <f t="shared" si="54"/>
        <v>33014</v>
      </c>
      <c r="BS26" s="53">
        <f t="shared" si="54"/>
        <v>30114.95</v>
      </c>
      <c r="BT26" s="53">
        <f t="shared" si="54"/>
        <v>29148.6</v>
      </c>
      <c r="BU26" s="53">
        <f t="shared" si="54"/>
        <v>25283.200000000001</v>
      </c>
      <c r="BV26" s="53">
        <f t="shared" si="54"/>
        <v>23350.5</v>
      </c>
      <c r="BW26" s="53">
        <f t="shared" si="54"/>
        <v>297600.3</v>
      </c>
    </row>
    <row r="27" spans="1:75" ht="15.75" customHeight="1" x14ac:dyDescent="0.2">
      <c r="A27" s="45" t="s">
        <v>100</v>
      </c>
      <c r="B27" s="45"/>
      <c r="C27" s="45"/>
      <c r="D27" s="45"/>
      <c r="E27" s="45"/>
      <c r="F27" s="45"/>
      <c r="G27" s="52">
        <f t="shared" ref="G27:S27" si="55">G26/G11</f>
        <v>0.26765799256505574</v>
      </c>
      <c r="H27" s="52">
        <f t="shared" si="55"/>
        <v>0.69516728624535318</v>
      </c>
      <c r="I27" s="52">
        <f t="shared" si="55"/>
        <v>0.7596034696406444</v>
      </c>
      <c r="J27" s="52">
        <f t="shared" si="55"/>
        <v>0.77801380775358475</v>
      </c>
      <c r="K27" s="52">
        <f t="shared" si="55"/>
        <v>0.79182156133828996</v>
      </c>
      <c r="L27" s="52">
        <f t="shared" si="55"/>
        <v>0.81115241635687729</v>
      </c>
      <c r="M27" s="52">
        <f t="shared" si="55"/>
        <v>0.82403965303593552</v>
      </c>
      <c r="N27" s="52">
        <f t="shared" si="55"/>
        <v>0.83692688971499385</v>
      </c>
      <c r="O27" s="52">
        <f t="shared" si="55"/>
        <v>0.83692688971499385</v>
      </c>
      <c r="P27" s="52">
        <f t="shared" si="55"/>
        <v>0.83692688971499385</v>
      </c>
      <c r="Q27" s="52">
        <f t="shared" si="55"/>
        <v>0.6310408921933085</v>
      </c>
      <c r="R27" s="52">
        <f t="shared" si="55"/>
        <v>0.6310408921933085</v>
      </c>
      <c r="S27" s="52">
        <f t="shared" si="55"/>
        <v>0.75034851301115246</v>
      </c>
      <c r="T27" s="45"/>
      <c r="U27" s="52">
        <f t="shared" ref="U27:AG27" si="56">U26/U11</f>
        <v>0.45987918215613383</v>
      </c>
      <c r="V27" s="52">
        <f t="shared" si="56"/>
        <v>0.45987918215613383</v>
      </c>
      <c r="W27" s="52">
        <f t="shared" si="56"/>
        <v>0.47509075005466872</v>
      </c>
      <c r="X27" s="52">
        <f t="shared" si="56"/>
        <v>0.48861214374225526</v>
      </c>
      <c r="Y27" s="52">
        <f t="shared" si="56"/>
        <v>0.50071023283114846</v>
      </c>
      <c r="Z27" s="52">
        <f t="shared" si="56"/>
        <v>0.52144981412639402</v>
      </c>
      <c r="AA27" s="52">
        <f t="shared" si="56"/>
        <v>0.53040554241297733</v>
      </c>
      <c r="AB27" s="52">
        <f t="shared" si="56"/>
        <v>0.53040554241297733</v>
      </c>
      <c r="AC27" s="52">
        <f t="shared" si="56"/>
        <v>0.53040554241297733</v>
      </c>
      <c r="AD27" s="52">
        <f t="shared" si="56"/>
        <v>0.51159851301115244</v>
      </c>
      <c r="AE27" s="52">
        <f t="shared" si="56"/>
        <v>0.48861214374225526</v>
      </c>
      <c r="AF27" s="52">
        <f t="shared" si="56"/>
        <v>0.48861214374225526</v>
      </c>
      <c r="AG27" s="52">
        <f t="shared" si="56"/>
        <v>0.50166117433158552</v>
      </c>
      <c r="AH27" s="45"/>
      <c r="AI27" s="52">
        <f t="shared" ref="AI27:AU27" si="57">AI26/AI11</f>
        <v>0.48757951259809995</v>
      </c>
      <c r="AJ27" s="52">
        <f t="shared" si="57"/>
        <v>0.48757951259809995</v>
      </c>
      <c r="AK27" s="52">
        <f t="shared" si="57"/>
        <v>0.51066914498141269</v>
      </c>
      <c r="AL27" s="52">
        <f t="shared" si="57"/>
        <v>0.52956066238594124</v>
      </c>
      <c r="AM27" s="52">
        <f t="shared" si="57"/>
        <v>0.55223048327137547</v>
      </c>
      <c r="AN27" s="52">
        <f t="shared" si="57"/>
        <v>0.56454495387580894</v>
      </c>
      <c r="AO27" s="52">
        <f t="shared" si="57"/>
        <v>0.588596654275093</v>
      </c>
      <c r="AP27" s="52">
        <f t="shared" si="57"/>
        <v>0.588596654275093</v>
      </c>
      <c r="AQ27" s="52">
        <f t="shared" si="57"/>
        <v>0.57004248539564528</v>
      </c>
      <c r="AR27" s="52">
        <f t="shared" si="57"/>
        <v>0.57004248539564528</v>
      </c>
      <c r="AS27" s="52">
        <f t="shared" si="57"/>
        <v>0.57004248539564528</v>
      </c>
      <c r="AT27" s="52">
        <f t="shared" si="57"/>
        <v>0.5586245353159851</v>
      </c>
      <c r="AU27" s="52">
        <f t="shared" si="57"/>
        <v>0.55441792212874197</v>
      </c>
      <c r="AV27" s="45"/>
      <c r="AW27" s="52">
        <f t="shared" ref="AW27:BI27" si="58">AW26/AW11</f>
        <v>0.55790963683156991</v>
      </c>
      <c r="AX27" s="52">
        <f t="shared" si="58"/>
        <v>0.54452912019826527</v>
      </c>
      <c r="AY27" s="52">
        <f t="shared" si="58"/>
        <v>0.55790963683156991</v>
      </c>
      <c r="AZ27" s="52">
        <f t="shared" si="58"/>
        <v>0.56385653311303874</v>
      </c>
      <c r="BA27" s="52">
        <f t="shared" si="58"/>
        <v>0.57451993334187923</v>
      </c>
      <c r="BB27" s="52">
        <f t="shared" si="58"/>
        <v>0.5880157992565056</v>
      </c>
      <c r="BC27" s="52">
        <f t="shared" si="58"/>
        <v>0.599198088157196</v>
      </c>
      <c r="BD27" s="52">
        <f t="shared" si="58"/>
        <v>0.60861475249461938</v>
      </c>
      <c r="BE27" s="52">
        <f t="shared" si="58"/>
        <v>0.599198088157196</v>
      </c>
      <c r="BF27" s="52">
        <f t="shared" si="58"/>
        <v>0.59568991909031277</v>
      </c>
      <c r="BG27" s="52">
        <f t="shared" si="58"/>
        <v>0.57931846344485749</v>
      </c>
      <c r="BH27" s="52">
        <f t="shared" si="58"/>
        <v>0.56937865108868824</v>
      </c>
      <c r="BI27" s="52">
        <f t="shared" si="58"/>
        <v>0.58084766534580667</v>
      </c>
      <c r="BJ27" s="45"/>
      <c r="BK27" s="52">
        <f t="shared" ref="BK27:BW27" si="59">BK26/BK11</f>
        <v>0.5687148167817313</v>
      </c>
      <c r="BL27" s="52">
        <f t="shared" si="59"/>
        <v>0.55719473834715472</v>
      </c>
      <c r="BM27" s="52">
        <f t="shared" si="59"/>
        <v>0.5687148167817313</v>
      </c>
      <c r="BN27" s="52">
        <f t="shared" si="59"/>
        <v>0.57387898987309327</v>
      </c>
      <c r="BO27" s="52">
        <f t="shared" si="59"/>
        <v>0.5832078186832953</v>
      </c>
      <c r="BP27" s="52">
        <f t="shared" si="59"/>
        <v>0.54375464684014874</v>
      </c>
      <c r="BQ27" s="52">
        <f t="shared" si="59"/>
        <v>0.60514317291268971</v>
      </c>
      <c r="BR27" s="52">
        <f t="shared" si="59"/>
        <v>0.61364312267657994</v>
      </c>
      <c r="BS27" s="52">
        <f t="shared" si="59"/>
        <v>0.60514317291268971</v>
      </c>
      <c r="BT27" s="52">
        <f t="shared" si="59"/>
        <v>0.60199504337050802</v>
      </c>
      <c r="BU27" s="52">
        <f t="shared" si="59"/>
        <v>0.5874349442379182</v>
      </c>
      <c r="BV27" s="52">
        <f t="shared" si="59"/>
        <v>0.57869888475836428</v>
      </c>
      <c r="BW27" s="52">
        <f t="shared" si="59"/>
        <v>0.58535493007611961</v>
      </c>
    </row>
    <row r="28" spans="1:75" ht="15.75" customHeight="1" x14ac:dyDescent="0.2">
      <c r="A28" s="45"/>
      <c r="B28" s="45"/>
      <c r="C28" s="45"/>
      <c r="D28" s="45"/>
      <c r="E28" s="45"/>
      <c r="F28" s="45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45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45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45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45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</row>
    <row r="29" spans="1:75" ht="15.75" customHeight="1" x14ac:dyDescent="0.2">
      <c r="A29" s="45" t="s">
        <v>72</v>
      </c>
      <c r="B29" s="45"/>
      <c r="C29" s="45">
        <f t="shared" ref="C29:E29" si="60">C26</f>
        <v>-2600</v>
      </c>
      <c r="D29" s="45">
        <f t="shared" si="60"/>
        <v>-100</v>
      </c>
      <c r="E29" s="45">
        <f t="shared" si="60"/>
        <v>-2700</v>
      </c>
      <c r="F29" s="45"/>
      <c r="G29" s="45">
        <f t="shared" ref="G29:S29" si="61">G26</f>
        <v>1440</v>
      </c>
      <c r="H29" s="45">
        <f t="shared" si="61"/>
        <v>3740</v>
      </c>
      <c r="I29" s="45">
        <f t="shared" si="61"/>
        <v>6130</v>
      </c>
      <c r="J29" s="45">
        <f t="shared" si="61"/>
        <v>7325</v>
      </c>
      <c r="K29" s="45">
        <f t="shared" si="61"/>
        <v>8520</v>
      </c>
      <c r="L29" s="45">
        <f t="shared" si="61"/>
        <v>10910</v>
      </c>
      <c r="M29" s="45">
        <f t="shared" si="61"/>
        <v>13300</v>
      </c>
      <c r="N29" s="45">
        <f t="shared" si="61"/>
        <v>16885</v>
      </c>
      <c r="O29" s="45">
        <f t="shared" si="61"/>
        <v>16885</v>
      </c>
      <c r="P29" s="45">
        <f t="shared" si="61"/>
        <v>16885</v>
      </c>
      <c r="Q29" s="45">
        <f t="shared" si="61"/>
        <v>13580</v>
      </c>
      <c r="R29" s="45">
        <f t="shared" si="61"/>
        <v>13580</v>
      </c>
      <c r="S29" s="45">
        <f t="shared" si="61"/>
        <v>129180</v>
      </c>
      <c r="T29" s="45"/>
      <c r="U29" s="45">
        <f t="shared" ref="U29:AG29" si="62">U26</f>
        <v>9896.6</v>
      </c>
      <c r="V29" s="45">
        <f t="shared" si="62"/>
        <v>9896.6</v>
      </c>
      <c r="W29" s="45">
        <f t="shared" si="62"/>
        <v>10862.95</v>
      </c>
      <c r="X29" s="45">
        <f t="shared" si="62"/>
        <v>11829.3</v>
      </c>
      <c r="Y29" s="45">
        <f t="shared" si="62"/>
        <v>12795.65</v>
      </c>
      <c r="Z29" s="45">
        <f t="shared" si="62"/>
        <v>14728.35</v>
      </c>
      <c r="AA29" s="45">
        <f t="shared" si="62"/>
        <v>15694.7</v>
      </c>
      <c r="AB29" s="45">
        <f t="shared" si="62"/>
        <v>15694.7</v>
      </c>
      <c r="AC29" s="45">
        <f t="shared" si="62"/>
        <v>15694.7</v>
      </c>
      <c r="AD29" s="45">
        <f t="shared" si="62"/>
        <v>13762</v>
      </c>
      <c r="AE29" s="45">
        <f t="shared" si="62"/>
        <v>11829.3</v>
      </c>
      <c r="AF29" s="45">
        <f t="shared" si="62"/>
        <v>11829.3</v>
      </c>
      <c r="AG29" s="45">
        <f t="shared" si="62"/>
        <v>154514.15</v>
      </c>
      <c r="AH29" s="45"/>
      <c r="AI29" s="45">
        <f t="shared" ref="AI29:AU29" si="63">AI26</f>
        <v>11804.3</v>
      </c>
      <c r="AJ29" s="45">
        <f t="shared" si="63"/>
        <v>11804.3</v>
      </c>
      <c r="AK29" s="45">
        <f t="shared" si="63"/>
        <v>13737</v>
      </c>
      <c r="AL29" s="45">
        <f t="shared" si="63"/>
        <v>15669.7</v>
      </c>
      <c r="AM29" s="45">
        <f t="shared" si="63"/>
        <v>18568.75</v>
      </c>
      <c r="AN29" s="45">
        <f t="shared" si="63"/>
        <v>20501.45</v>
      </c>
      <c r="AO29" s="45">
        <f t="shared" si="63"/>
        <v>25333.200000000001</v>
      </c>
      <c r="AP29" s="45">
        <f t="shared" si="63"/>
        <v>25333.200000000001</v>
      </c>
      <c r="AQ29" s="45">
        <f t="shared" si="63"/>
        <v>21467.8</v>
      </c>
      <c r="AR29" s="45">
        <f t="shared" si="63"/>
        <v>21467.8</v>
      </c>
      <c r="AS29" s="45">
        <f t="shared" si="63"/>
        <v>21467.8</v>
      </c>
      <c r="AT29" s="45">
        <f t="shared" si="63"/>
        <v>19535.099999999999</v>
      </c>
      <c r="AU29" s="45">
        <f t="shared" si="63"/>
        <v>226690.40000000002</v>
      </c>
      <c r="AV29" s="45"/>
      <c r="AW29" s="45">
        <f t="shared" ref="AW29:BW29" si="64">AW26</f>
        <v>19510.099999999999</v>
      </c>
      <c r="AX29" s="45">
        <f t="shared" si="64"/>
        <v>17577.400000000001</v>
      </c>
      <c r="AY29" s="45">
        <f t="shared" si="64"/>
        <v>19510.099999999999</v>
      </c>
      <c r="AZ29" s="45">
        <f t="shared" si="64"/>
        <v>20476.45</v>
      </c>
      <c r="BA29" s="45">
        <f t="shared" si="64"/>
        <v>22409.15</v>
      </c>
      <c r="BB29" s="45">
        <f t="shared" si="64"/>
        <v>25308.2</v>
      </c>
      <c r="BC29" s="45">
        <f t="shared" si="64"/>
        <v>28207.25</v>
      </c>
      <c r="BD29" s="45">
        <f t="shared" si="64"/>
        <v>31106.3</v>
      </c>
      <c r="BE29" s="45">
        <f t="shared" si="64"/>
        <v>28207.25</v>
      </c>
      <c r="BF29" s="45">
        <f t="shared" si="64"/>
        <v>27240.9</v>
      </c>
      <c r="BG29" s="45">
        <f t="shared" si="64"/>
        <v>23375.5</v>
      </c>
      <c r="BH29" s="45">
        <f t="shared" si="64"/>
        <v>21442.799999999999</v>
      </c>
      <c r="BI29" s="45">
        <f t="shared" si="64"/>
        <v>284371.40000000002</v>
      </c>
      <c r="BJ29" s="45">
        <f t="shared" si="64"/>
        <v>0</v>
      </c>
      <c r="BK29" s="45">
        <f t="shared" si="64"/>
        <v>21417.8</v>
      </c>
      <c r="BL29" s="45">
        <f t="shared" si="64"/>
        <v>19485.099999999999</v>
      </c>
      <c r="BM29" s="45">
        <f t="shared" si="64"/>
        <v>21417.8</v>
      </c>
      <c r="BN29" s="45">
        <f t="shared" si="64"/>
        <v>22384.15</v>
      </c>
      <c r="BO29" s="45">
        <f t="shared" si="64"/>
        <v>24316.85</v>
      </c>
      <c r="BP29" s="45">
        <f t="shared" si="64"/>
        <v>17552.400000000001</v>
      </c>
      <c r="BQ29" s="45">
        <f t="shared" si="64"/>
        <v>30114.95</v>
      </c>
      <c r="BR29" s="45">
        <f t="shared" si="64"/>
        <v>33014</v>
      </c>
      <c r="BS29" s="45">
        <f t="shared" si="64"/>
        <v>30114.95</v>
      </c>
      <c r="BT29" s="45">
        <f t="shared" si="64"/>
        <v>29148.6</v>
      </c>
      <c r="BU29" s="45">
        <f t="shared" si="64"/>
        <v>25283.200000000001</v>
      </c>
      <c r="BV29" s="45">
        <f t="shared" si="64"/>
        <v>23350.5</v>
      </c>
      <c r="BW29" s="45">
        <f t="shared" si="64"/>
        <v>297600.3</v>
      </c>
    </row>
    <row r="30" spans="1:75" ht="15.75" customHeight="1" x14ac:dyDescent="0.2">
      <c r="A30" s="46"/>
      <c r="B30" s="46"/>
      <c r="C30" s="46"/>
      <c r="D30" s="46"/>
      <c r="E30" s="45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5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5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5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5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5"/>
    </row>
    <row r="31" spans="1:75" ht="15.75" customHeight="1" x14ac:dyDescent="0.2">
      <c r="A31" s="46" t="s">
        <v>101</v>
      </c>
      <c r="B31" s="46"/>
      <c r="C31" s="46"/>
      <c r="D31" s="46"/>
      <c r="E31" s="45">
        <f>SUM(C31:D31)</f>
        <v>0</v>
      </c>
      <c r="F31" s="46"/>
      <c r="G31" s="46">
        <f t="shared" ref="G31:S31" si="65">(G29)*0.3</f>
        <v>432</v>
      </c>
      <c r="H31" s="46">
        <f t="shared" si="65"/>
        <v>1122</v>
      </c>
      <c r="I31" s="46">
        <f t="shared" si="65"/>
        <v>1839</v>
      </c>
      <c r="J31" s="46">
        <f t="shared" si="65"/>
        <v>2197.5</v>
      </c>
      <c r="K31" s="46">
        <f t="shared" si="65"/>
        <v>2556</v>
      </c>
      <c r="L31" s="46">
        <f t="shared" si="65"/>
        <v>3273</v>
      </c>
      <c r="M31" s="46">
        <f t="shared" si="65"/>
        <v>3990</v>
      </c>
      <c r="N31" s="46">
        <f t="shared" si="65"/>
        <v>5065.5</v>
      </c>
      <c r="O31" s="46">
        <f t="shared" si="65"/>
        <v>5065.5</v>
      </c>
      <c r="P31" s="46">
        <f t="shared" si="65"/>
        <v>5065.5</v>
      </c>
      <c r="Q31" s="46">
        <f t="shared" si="65"/>
        <v>4074</v>
      </c>
      <c r="R31" s="46">
        <f t="shared" si="65"/>
        <v>4074</v>
      </c>
      <c r="S31" s="46">
        <f t="shared" si="65"/>
        <v>38754</v>
      </c>
      <c r="T31" s="46"/>
      <c r="U31" s="46">
        <f t="shared" ref="U31:AG31" si="66">(U29)*0.3</f>
        <v>2968.98</v>
      </c>
      <c r="V31" s="46">
        <f t="shared" si="66"/>
        <v>2968.98</v>
      </c>
      <c r="W31" s="46">
        <f t="shared" si="66"/>
        <v>3258.8850000000002</v>
      </c>
      <c r="X31" s="46">
        <f t="shared" si="66"/>
        <v>3548.7899999999995</v>
      </c>
      <c r="Y31" s="46">
        <f t="shared" si="66"/>
        <v>3838.6949999999997</v>
      </c>
      <c r="Z31" s="46">
        <f t="shared" si="66"/>
        <v>4418.5050000000001</v>
      </c>
      <c r="AA31" s="46">
        <f t="shared" si="66"/>
        <v>4708.41</v>
      </c>
      <c r="AB31" s="46">
        <f t="shared" si="66"/>
        <v>4708.41</v>
      </c>
      <c r="AC31" s="46">
        <f t="shared" si="66"/>
        <v>4708.41</v>
      </c>
      <c r="AD31" s="46">
        <f t="shared" si="66"/>
        <v>4128.5999999999995</v>
      </c>
      <c r="AE31" s="46">
        <f t="shared" si="66"/>
        <v>3548.7899999999995</v>
      </c>
      <c r="AF31" s="46">
        <f t="shared" si="66"/>
        <v>3548.7899999999995</v>
      </c>
      <c r="AG31" s="46">
        <f t="shared" si="66"/>
        <v>46354.244999999995</v>
      </c>
      <c r="AH31" s="46"/>
      <c r="AI31" s="46">
        <f t="shared" ref="AI31:AU31" si="67">(AI29)*0.3</f>
        <v>3541.2899999999995</v>
      </c>
      <c r="AJ31" s="46">
        <f t="shared" si="67"/>
        <v>3541.2899999999995</v>
      </c>
      <c r="AK31" s="46">
        <f t="shared" si="67"/>
        <v>4121.0999999999995</v>
      </c>
      <c r="AL31" s="46">
        <f t="shared" si="67"/>
        <v>4700.91</v>
      </c>
      <c r="AM31" s="46">
        <f t="shared" si="67"/>
        <v>5570.625</v>
      </c>
      <c r="AN31" s="46">
        <f t="shared" si="67"/>
        <v>6150.4350000000004</v>
      </c>
      <c r="AO31" s="46">
        <f t="shared" si="67"/>
        <v>7599.96</v>
      </c>
      <c r="AP31" s="46">
        <f t="shared" si="67"/>
        <v>7599.96</v>
      </c>
      <c r="AQ31" s="46">
        <f t="shared" si="67"/>
        <v>6440.3399999999992</v>
      </c>
      <c r="AR31" s="46">
        <f t="shared" si="67"/>
        <v>6440.3399999999992</v>
      </c>
      <c r="AS31" s="46">
        <f t="shared" si="67"/>
        <v>6440.3399999999992</v>
      </c>
      <c r="AT31" s="46">
        <f t="shared" si="67"/>
        <v>5860.53</v>
      </c>
      <c r="AU31" s="46">
        <f t="shared" si="67"/>
        <v>68007.12000000001</v>
      </c>
      <c r="AV31" s="46"/>
      <c r="AW31" s="46">
        <f t="shared" ref="AW31:BI31" si="68">(AW29)*0.3</f>
        <v>5853.03</v>
      </c>
      <c r="AX31" s="46">
        <f t="shared" si="68"/>
        <v>5273.22</v>
      </c>
      <c r="AY31" s="46">
        <f t="shared" si="68"/>
        <v>5853.03</v>
      </c>
      <c r="AZ31" s="46">
        <f t="shared" si="68"/>
        <v>6142.9350000000004</v>
      </c>
      <c r="BA31" s="46">
        <f t="shared" si="68"/>
        <v>6722.7449999999999</v>
      </c>
      <c r="BB31" s="46">
        <f t="shared" si="68"/>
        <v>7592.46</v>
      </c>
      <c r="BC31" s="46">
        <f t="shared" si="68"/>
        <v>8462.1749999999993</v>
      </c>
      <c r="BD31" s="46">
        <f t="shared" si="68"/>
        <v>9331.89</v>
      </c>
      <c r="BE31" s="46">
        <f t="shared" si="68"/>
        <v>8462.1749999999993</v>
      </c>
      <c r="BF31" s="46">
        <f t="shared" si="68"/>
        <v>8172.27</v>
      </c>
      <c r="BG31" s="46">
        <f t="shared" si="68"/>
        <v>7012.65</v>
      </c>
      <c r="BH31" s="46">
        <f t="shared" si="68"/>
        <v>6432.8399999999992</v>
      </c>
      <c r="BI31" s="46">
        <f t="shared" si="68"/>
        <v>85311.42</v>
      </c>
      <c r="BJ31" s="46"/>
      <c r="BK31" s="46">
        <f t="shared" ref="BK31:BW31" si="69">(BK29)*0.3</f>
        <v>6425.3399999999992</v>
      </c>
      <c r="BL31" s="46">
        <f t="shared" si="69"/>
        <v>5845.53</v>
      </c>
      <c r="BM31" s="46">
        <f t="shared" si="69"/>
        <v>6425.3399999999992</v>
      </c>
      <c r="BN31" s="46">
        <f t="shared" si="69"/>
        <v>6715.2449999999999</v>
      </c>
      <c r="BO31" s="46">
        <f t="shared" si="69"/>
        <v>7295.0549999999994</v>
      </c>
      <c r="BP31" s="46">
        <f t="shared" si="69"/>
        <v>5265.72</v>
      </c>
      <c r="BQ31" s="46">
        <f t="shared" si="69"/>
        <v>9034.4850000000006</v>
      </c>
      <c r="BR31" s="46">
        <f t="shared" si="69"/>
        <v>9904.1999999999989</v>
      </c>
      <c r="BS31" s="46">
        <f t="shared" si="69"/>
        <v>9034.4850000000006</v>
      </c>
      <c r="BT31" s="46">
        <f t="shared" si="69"/>
        <v>8744.58</v>
      </c>
      <c r="BU31" s="46">
        <f t="shared" si="69"/>
        <v>7584.96</v>
      </c>
      <c r="BV31" s="46">
        <f t="shared" si="69"/>
        <v>7005.15</v>
      </c>
      <c r="BW31" s="46">
        <f t="shared" si="69"/>
        <v>89280.09</v>
      </c>
    </row>
    <row r="32" spans="1:75" ht="15.75" customHeight="1" x14ac:dyDescent="0.2">
      <c r="A32" s="46"/>
      <c r="B32" s="46"/>
      <c r="C32" s="46"/>
      <c r="D32" s="46"/>
      <c r="E32" s="4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5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5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5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5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5"/>
    </row>
    <row r="33" spans="1:75" ht="15.75" customHeight="1" x14ac:dyDescent="0.2">
      <c r="A33" s="54" t="s">
        <v>102</v>
      </c>
      <c r="B33" s="54"/>
      <c r="C33" s="54">
        <f t="shared" ref="C33:D33" si="70">C29-C31</f>
        <v>-2600</v>
      </c>
      <c r="D33" s="54">
        <f t="shared" si="70"/>
        <v>-100</v>
      </c>
      <c r="E33" s="54">
        <f>SUM(C33:D33)</f>
        <v>-2700</v>
      </c>
      <c r="F33" s="45"/>
      <c r="G33" s="54">
        <f t="shared" ref="G33:S33" si="71">G29-G31</f>
        <v>1008</v>
      </c>
      <c r="H33" s="54">
        <f t="shared" si="71"/>
        <v>2618</v>
      </c>
      <c r="I33" s="54">
        <f t="shared" si="71"/>
        <v>4291</v>
      </c>
      <c r="J33" s="54">
        <f t="shared" si="71"/>
        <v>5127.5</v>
      </c>
      <c r="K33" s="54">
        <f t="shared" si="71"/>
        <v>5964</v>
      </c>
      <c r="L33" s="54">
        <f t="shared" si="71"/>
        <v>7637</v>
      </c>
      <c r="M33" s="54">
        <f t="shared" si="71"/>
        <v>9310</v>
      </c>
      <c r="N33" s="54">
        <f t="shared" si="71"/>
        <v>11819.5</v>
      </c>
      <c r="O33" s="54">
        <f t="shared" si="71"/>
        <v>11819.5</v>
      </c>
      <c r="P33" s="54">
        <f t="shared" si="71"/>
        <v>11819.5</v>
      </c>
      <c r="Q33" s="54">
        <f t="shared" si="71"/>
        <v>9506</v>
      </c>
      <c r="R33" s="54">
        <f t="shared" si="71"/>
        <v>9506</v>
      </c>
      <c r="S33" s="54">
        <f t="shared" si="71"/>
        <v>90426</v>
      </c>
      <c r="T33" s="45"/>
      <c r="U33" s="54">
        <f t="shared" ref="U33:AG33" si="72">U29-U31</f>
        <v>6927.6200000000008</v>
      </c>
      <c r="V33" s="54">
        <f t="shared" si="72"/>
        <v>6927.6200000000008</v>
      </c>
      <c r="W33" s="54">
        <f t="shared" si="72"/>
        <v>7604.0650000000005</v>
      </c>
      <c r="X33" s="54">
        <f t="shared" si="72"/>
        <v>8280.51</v>
      </c>
      <c r="Y33" s="54">
        <f t="shared" si="72"/>
        <v>8956.9549999999999</v>
      </c>
      <c r="Z33" s="54">
        <f t="shared" si="72"/>
        <v>10309.845000000001</v>
      </c>
      <c r="AA33" s="54">
        <f t="shared" si="72"/>
        <v>10986.29</v>
      </c>
      <c r="AB33" s="54">
        <f t="shared" si="72"/>
        <v>10986.29</v>
      </c>
      <c r="AC33" s="54">
        <f t="shared" si="72"/>
        <v>10986.29</v>
      </c>
      <c r="AD33" s="54">
        <f t="shared" si="72"/>
        <v>9633.4000000000015</v>
      </c>
      <c r="AE33" s="54">
        <f t="shared" si="72"/>
        <v>8280.51</v>
      </c>
      <c r="AF33" s="54">
        <f t="shared" si="72"/>
        <v>8280.51</v>
      </c>
      <c r="AG33" s="54">
        <f t="shared" si="72"/>
        <v>108159.905</v>
      </c>
      <c r="AH33" s="45"/>
      <c r="AI33" s="54">
        <f t="shared" ref="AI33:AU33" si="73">AI29-AI31</f>
        <v>8263.01</v>
      </c>
      <c r="AJ33" s="54">
        <f t="shared" si="73"/>
        <v>8263.01</v>
      </c>
      <c r="AK33" s="54">
        <f t="shared" si="73"/>
        <v>9615.9000000000015</v>
      </c>
      <c r="AL33" s="54">
        <f t="shared" si="73"/>
        <v>10968.79</v>
      </c>
      <c r="AM33" s="54">
        <f t="shared" si="73"/>
        <v>12998.125</v>
      </c>
      <c r="AN33" s="54">
        <f t="shared" si="73"/>
        <v>14351.014999999999</v>
      </c>
      <c r="AO33" s="54">
        <f t="shared" si="73"/>
        <v>17733.240000000002</v>
      </c>
      <c r="AP33" s="54">
        <f t="shared" si="73"/>
        <v>17733.240000000002</v>
      </c>
      <c r="AQ33" s="54">
        <f t="shared" si="73"/>
        <v>15027.46</v>
      </c>
      <c r="AR33" s="54">
        <f t="shared" si="73"/>
        <v>15027.46</v>
      </c>
      <c r="AS33" s="54">
        <f t="shared" si="73"/>
        <v>15027.46</v>
      </c>
      <c r="AT33" s="54">
        <f t="shared" si="73"/>
        <v>13674.57</v>
      </c>
      <c r="AU33" s="54">
        <f t="shared" si="73"/>
        <v>158683.28000000003</v>
      </c>
      <c r="AV33" s="45"/>
      <c r="AW33" s="54">
        <f t="shared" ref="AW33:BI33" si="74">AW29-AW31</f>
        <v>13657.07</v>
      </c>
      <c r="AX33" s="54">
        <f t="shared" si="74"/>
        <v>12304.18</v>
      </c>
      <c r="AY33" s="54">
        <f t="shared" si="74"/>
        <v>13657.07</v>
      </c>
      <c r="AZ33" s="54">
        <f t="shared" si="74"/>
        <v>14333.514999999999</v>
      </c>
      <c r="BA33" s="54">
        <f t="shared" si="74"/>
        <v>15686.405000000002</v>
      </c>
      <c r="BB33" s="54">
        <f t="shared" si="74"/>
        <v>17715.740000000002</v>
      </c>
      <c r="BC33" s="54">
        <f t="shared" si="74"/>
        <v>19745.075000000001</v>
      </c>
      <c r="BD33" s="54">
        <f t="shared" si="74"/>
        <v>21774.41</v>
      </c>
      <c r="BE33" s="54">
        <f t="shared" si="74"/>
        <v>19745.075000000001</v>
      </c>
      <c r="BF33" s="54">
        <f t="shared" si="74"/>
        <v>19068.63</v>
      </c>
      <c r="BG33" s="54">
        <f t="shared" si="74"/>
        <v>16362.85</v>
      </c>
      <c r="BH33" s="54">
        <f t="shared" si="74"/>
        <v>15009.96</v>
      </c>
      <c r="BI33" s="54">
        <f t="shared" si="74"/>
        <v>199059.98000000004</v>
      </c>
      <c r="BJ33" s="45"/>
      <c r="BK33" s="54">
        <f t="shared" ref="BK33:BW33" si="75">BK29-BK31</f>
        <v>14992.46</v>
      </c>
      <c r="BL33" s="54">
        <f t="shared" si="75"/>
        <v>13639.57</v>
      </c>
      <c r="BM33" s="54">
        <f t="shared" si="75"/>
        <v>14992.46</v>
      </c>
      <c r="BN33" s="54">
        <f t="shared" si="75"/>
        <v>15668.905000000002</v>
      </c>
      <c r="BO33" s="54">
        <f t="shared" si="75"/>
        <v>17021.794999999998</v>
      </c>
      <c r="BP33" s="54">
        <f t="shared" si="75"/>
        <v>12286.68</v>
      </c>
      <c r="BQ33" s="54">
        <f t="shared" si="75"/>
        <v>21080.465</v>
      </c>
      <c r="BR33" s="54">
        <f t="shared" si="75"/>
        <v>23109.800000000003</v>
      </c>
      <c r="BS33" s="54">
        <f t="shared" si="75"/>
        <v>21080.465</v>
      </c>
      <c r="BT33" s="54">
        <f t="shared" si="75"/>
        <v>20404.019999999997</v>
      </c>
      <c r="BU33" s="54">
        <f t="shared" si="75"/>
        <v>17698.240000000002</v>
      </c>
      <c r="BV33" s="54">
        <f t="shared" si="75"/>
        <v>16345.35</v>
      </c>
      <c r="BW33" s="54">
        <f t="shared" si="75"/>
        <v>208320.21</v>
      </c>
    </row>
    <row r="34" spans="1:75" ht="15.75" customHeight="1" x14ac:dyDescent="0.2">
      <c r="A34" s="55" t="s">
        <v>103</v>
      </c>
      <c r="B34" s="55"/>
      <c r="C34" s="55"/>
      <c r="D34" s="55"/>
      <c r="E34" s="56"/>
      <c r="F34" s="55"/>
      <c r="G34" s="57">
        <f>G33/G11</f>
        <v>0.18736059479553904</v>
      </c>
      <c r="H34" s="57">
        <f t="shared" ref="G34:S34" si="76">H33/H11</f>
        <v>0.48661710037174721</v>
      </c>
      <c r="I34" s="57">
        <f t="shared" si="76"/>
        <v>0.5317224287484511</v>
      </c>
      <c r="J34" s="57">
        <f t="shared" si="76"/>
        <v>0.54460966542750933</v>
      </c>
      <c r="K34" s="57">
        <f t="shared" si="76"/>
        <v>0.55427509293680299</v>
      </c>
      <c r="L34" s="57">
        <f t="shared" si="76"/>
        <v>0.5678066914498141</v>
      </c>
      <c r="M34" s="57">
        <f t="shared" si="76"/>
        <v>0.57682775712515488</v>
      </c>
      <c r="N34" s="57">
        <f t="shared" si="76"/>
        <v>0.58584882280049566</v>
      </c>
      <c r="O34" s="57">
        <f t="shared" si="76"/>
        <v>0.58584882280049566</v>
      </c>
      <c r="P34" s="57">
        <f t="shared" si="76"/>
        <v>0.58584882280049566</v>
      </c>
      <c r="Q34" s="57">
        <f t="shared" si="76"/>
        <v>0.44172862453531597</v>
      </c>
      <c r="R34" s="57">
        <f t="shared" si="76"/>
        <v>0.44172862453531597</v>
      </c>
      <c r="S34" s="57">
        <f t="shared" si="76"/>
        <v>0.52524395910780675</v>
      </c>
      <c r="T34" s="55"/>
      <c r="U34" s="57">
        <f t="shared" ref="U34:AG34" si="77">U33/U11</f>
        <v>0.32191542750929369</v>
      </c>
      <c r="V34" s="57">
        <f t="shared" si="77"/>
        <v>0.32191542750929369</v>
      </c>
      <c r="W34" s="57">
        <f t="shared" si="77"/>
        <v>0.33256352503826814</v>
      </c>
      <c r="X34" s="57">
        <f t="shared" si="77"/>
        <v>0.34202850061957868</v>
      </c>
      <c r="Y34" s="57">
        <f t="shared" si="77"/>
        <v>0.35049716298180394</v>
      </c>
      <c r="Z34" s="57">
        <f t="shared" si="77"/>
        <v>0.36501486988847587</v>
      </c>
      <c r="AA34" s="57">
        <f t="shared" si="77"/>
        <v>0.37128387968908416</v>
      </c>
      <c r="AB34" s="57">
        <f t="shared" si="77"/>
        <v>0.37128387968908416</v>
      </c>
      <c r="AC34" s="57">
        <f t="shared" si="77"/>
        <v>0.37128387968908416</v>
      </c>
      <c r="AD34" s="57">
        <f t="shared" si="77"/>
        <v>0.35811895910780672</v>
      </c>
      <c r="AE34" s="57">
        <f t="shared" si="77"/>
        <v>0.34202850061957868</v>
      </c>
      <c r="AF34" s="57">
        <f t="shared" si="77"/>
        <v>0.34202850061957868</v>
      </c>
      <c r="AG34" s="57">
        <f t="shared" si="77"/>
        <v>0.35116282203210986</v>
      </c>
      <c r="AH34" s="55"/>
      <c r="AI34" s="57">
        <f t="shared" ref="AI34:AU34" si="78">AI33/AI11</f>
        <v>0.34130565881866998</v>
      </c>
      <c r="AJ34" s="57">
        <f t="shared" si="78"/>
        <v>0.34130565881866998</v>
      </c>
      <c r="AK34" s="57">
        <f t="shared" si="78"/>
        <v>0.35746840148698888</v>
      </c>
      <c r="AL34" s="57">
        <f t="shared" si="78"/>
        <v>0.37069246367015884</v>
      </c>
      <c r="AM34" s="57">
        <f t="shared" si="78"/>
        <v>0.38656133828996281</v>
      </c>
      <c r="AN34" s="57">
        <f t="shared" si="78"/>
        <v>0.39518146771306623</v>
      </c>
      <c r="AO34" s="57">
        <f t="shared" si="78"/>
        <v>0.41201765799256507</v>
      </c>
      <c r="AP34" s="57">
        <f t="shared" si="78"/>
        <v>0.41201765799256507</v>
      </c>
      <c r="AQ34" s="57">
        <f t="shared" si="78"/>
        <v>0.39902973977695166</v>
      </c>
      <c r="AR34" s="57">
        <f t="shared" si="78"/>
        <v>0.39902973977695166</v>
      </c>
      <c r="AS34" s="57">
        <f t="shared" si="78"/>
        <v>0.39902973977695166</v>
      </c>
      <c r="AT34" s="57">
        <f t="shared" si="78"/>
        <v>0.3910371747211896</v>
      </c>
      <c r="AU34" s="57">
        <f t="shared" si="78"/>
        <v>0.3880925454901194</v>
      </c>
      <c r="AV34" s="55"/>
      <c r="AW34" s="57">
        <f t="shared" ref="AW34:BI34" si="79">AW33/AW11</f>
        <v>0.39053674578209896</v>
      </c>
      <c r="AX34" s="57">
        <f t="shared" si="79"/>
        <v>0.38117038413878562</v>
      </c>
      <c r="AY34" s="57">
        <f t="shared" si="79"/>
        <v>0.39053674578209896</v>
      </c>
      <c r="AZ34" s="57">
        <f t="shared" si="79"/>
        <v>0.39469957317912707</v>
      </c>
      <c r="BA34" s="57">
        <f t="shared" si="79"/>
        <v>0.40216395333931554</v>
      </c>
      <c r="BB34" s="57">
        <f t="shared" si="79"/>
        <v>0.41161105947955395</v>
      </c>
      <c r="BC34" s="57">
        <f t="shared" si="79"/>
        <v>0.41943866171003719</v>
      </c>
      <c r="BD34" s="57">
        <f t="shared" si="79"/>
        <v>0.42603032674623359</v>
      </c>
      <c r="BE34" s="57">
        <f t="shared" si="79"/>
        <v>0.41943866171003719</v>
      </c>
      <c r="BF34" s="57">
        <f t="shared" si="79"/>
        <v>0.41698294336321889</v>
      </c>
      <c r="BG34" s="57">
        <f t="shared" si="79"/>
        <v>0.40552292441140025</v>
      </c>
      <c r="BH34" s="57">
        <f t="shared" si="79"/>
        <v>0.39856505576208179</v>
      </c>
      <c r="BI34" s="57">
        <f t="shared" si="79"/>
        <v>0.40659336574206473</v>
      </c>
      <c r="BJ34" s="55"/>
      <c r="BK34" s="57">
        <f t="shared" ref="BK34:BW34" si="80">BK33/BK11</f>
        <v>0.39810037174721186</v>
      </c>
      <c r="BL34" s="57">
        <f t="shared" si="80"/>
        <v>0.39003631684300827</v>
      </c>
      <c r="BM34" s="57">
        <f t="shared" si="80"/>
        <v>0.39810037174721186</v>
      </c>
      <c r="BN34" s="57">
        <f t="shared" si="80"/>
        <v>0.40171529291116531</v>
      </c>
      <c r="BO34" s="57">
        <f t="shared" si="80"/>
        <v>0.40824547307830672</v>
      </c>
      <c r="BP34" s="57">
        <f t="shared" si="80"/>
        <v>0.38062825278810408</v>
      </c>
      <c r="BQ34" s="57">
        <f t="shared" si="80"/>
        <v>0.42360022103888273</v>
      </c>
      <c r="BR34" s="57">
        <f t="shared" si="80"/>
        <v>0.42955018587360599</v>
      </c>
      <c r="BS34" s="57">
        <f t="shared" si="80"/>
        <v>0.42360022103888273</v>
      </c>
      <c r="BT34" s="57">
        <f t="shared" si="80"/>
        <v>0.42139653035935559</v>
      </c>
      <c r="BU34" s="57">
        <f t="shared" si="80"/>
        <v>0.41120446096654278</v>
      </c>
      <c r="BV34" s="57">
        <f t="shared" si="80"/>
        <v>0.40508921933085501</v>
      </c>
      <c r="BW34" s="57">
        <f t="shared" si="80"/>
        <v>0.40974845105328372</v>
      </c>
    </row>
    <row r="35" spans="1:75" ht="15.75" customHeight="1" x14ac:dyDescent="0.2">
      <c r="A35" s="46"/>
      <c r="B35" s="46"/>
      <c r="C35" s="46"/>
      <c r="D35" s="46"/>
      <c r="E35" s="45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5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5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5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5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5"/>
    </row>
    <row r="36" spans="1:75" ht="15.75" customHeight="1" x14ac:dyDescent="0.2">
      <c r="A36" s="4" t="s">
        <v>104</v>
      </c>
      <c r="B36" s="4"/>
      <c r="C36" s="46"/>
      <c r="D36" s="46"/>
      <c r="E36" s="45"/>
      <c r="F36" s="46"/>
      <c r="G36" s="59" t="s">
        <v>75</v>
      </c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1"/>
      <c r="T36" s="4"/>
      <c r="U36" s="59" t="s">
        <v>76</v>
      </c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1"/>
      <c r="AH36" s="4"/>
      <c r="AI36" s="59" t="s">
        <v>77</v>
      </c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1"/>
      <c r="AV36" s="4"/>
      <c r="AW36" s="59" t="s">
        <v>78</v>
      </c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1"/>
      <c r="BJ36" s="4"/>
      <c r="BK36" s="59" t="s">
        <v>79</v>
      </c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1"/>
    </row>
    <row r="37" spans="1:75" ht="15.75" customHeight="1" x14ac:dyDescent="0.2">
      <c r="A37" s="46"/>
      <c r="B37" s="46"/>
      <c r="C37" s="46"/>
      <c r="D37" s="46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5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5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5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5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5"/>
    </row>
    <row r="38" spans="1:75" ht="15.75" customHeight="1" x14ac:dyDescent="0.2">
      <c r="A38" s="46" t="s">
        <v>36</v>
      </c>
      <c r="B38" s="46"/>
      <c r="C38" s="46">
        <f>-SUM('Upfront Costs'!C2)</f>
        <v>-250000</v>
      </c>
      <c r="D38" s="46">
        <f>-SUM('Upfront Costs'!C3)</f>
        <v>-300000</v>
      </c>
      <c r="E38" s="45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5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5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5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5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5"/>
    </row>
    <row r="39" spans="1:75" ht="15.75" customHeight="1" x14ac:dyDescent="0.2">
      <c r="A39" s="46" t="s">
        <v>105</v>
      </c>
      <c r="B39" s="46"/>
      <c r="C39" s="46"/>
      <c r="D39" s="46"/>
      <c r="E39" s="45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5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5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5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5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5"/>
    </row>
    <row r="40" spans="1:75" ht="15.75" customHeight="1" x14ac:dyDescent="0.2">
      <c r="A40" s="46" t="s">
        <v>106</v>
      </c>
      <c r="B40" s="46"/>
      <c r="C40" s="50">
        <f t="shared" ref="C40:D40" si="81">C29+C31</f>
        <v>-2600</v>
      </c>
      <c r="D40" s="50">
        <f t="shared" si="81"/>
        <v>-100</v>
      </c>
      <c r="E40" s="51"/>
      <c r="F40" s="46"/>
      <c r="G40" s="50">
        <f t="shared" ref="G40:S40" si="82">G33</f>
        <v>1008</v>
      </c>
      <c r="H40" s="50">
        <f t="shared" si="82"/>
        <v>2618</v>
      </c>
      <c r="I40" s="50">
        <f t="shared" si="82"/>
        <v>4291</v>
      </c>
      <c r="J40" s="50">
        <f t="shared" si="82"/>
        <v>5127.5</v>
      </c>
      <c r="K40" s="50">
        <f t="shared" si="82"/>
        <v>5964</v>
      </c>
      <c r="L40" s="50">
        <f t="shared" si="82"/>
        <v>7637</v>
      </c>
      <c r="M40" s="50">
        <f t="shared" si="82"/>
        <v>9310</v>
      </c>
      <c r="N40" s="50">
        <f t="shared" si="82"/>
        <v>11819.5</v>
      </c>
      <c r="O40" s="50">
        <f t="shared" si="82"/>
        <v>11819.5</v>
      </c>
      <c r="P40" s="50">
        <f t="shared" si="82"/>
        <v>11819.5</v>
      </c>
      <c r="Q40" s="50">
        <f t="shared" si="82"/>
        <v>9506</v>
      </c>
      <c r="R40" s="50">
        <f t="shared" si="82"/>
        <v>9506</v>
      </c>
      <c r="S40" s="50">
        <f t="shared" si="82"/>
        <v>90426</v>
      </c>
      <c r="T40" s="50"/>
      <c r="U40" s="50">
        <f t="shared" ref="U40:AG40" si="83">U33</f>
        <v>6927.6200000000008</v>
      </c>
      <c r="V40" s="50">
        <f t="shared" si="83"/>
        <v>6927.6200000000008</v>
      </c>
      <c r="W40" s="50">
        <f t="shared" si="83"/>
        <v>7604.0650000000005</v>
      </c>
      <c r="X40" s="50">
        <f t="shared" si="83"/>
        <v>8280.51</v>
      </c>
      <c r="Y40" s="50">
        <f t="shared" si="83"/>
        <v>8956.9549999999999</v>
      </c>
      <c r="Z40" s="50">
        <f t="shared" si="83"/>
        <v>10309.845000000001</v>
      </c>
      <c r="AA40" s="50">
        <f t="shared" si="83"/>
        <v>10986.29</v>
      </c>
      <c r="AB40" s="50">
        <f t="shared" si="83"/>
        <v>10986.29</v>
      </c>
      <c r="AC40" s="50">
        <f t="shared" si="83"/>
        <v>10986.29</v>
      </c>
      <c r="AD40" s="50">
        <f t="shared" si="83"/>
        <v>9633.4000000000015</v>
      </c>
      <c r="AE40" s="50">
        <f t="shared" si="83"/>
        <v>8280.51</v>
      </c>
      <c r="AF40" s="50">
        <f t="shared" si="83"/>
        <v>8280.51</v>
      </c>
      <c r="AG40" s="50">
        <f t="shared" si="83"/>
        <v>108159.905</v>
      </c>
      <c r="AH40" s="50"/>
      <c r="AI40" s="50">
        <f t="shared" ref="AI40:AU40" si="84">AI33</f>
        <v>8263.01</v>
      </c>
      <c r="AJ40" s="50">
        <f t="shared" si="84"/>
        <v>8263.01</v>
      </c>
      <c r="AK40" s="50">
        <f t="shared" si="84"/>
        <v>9615.9000000000015</v>
      </c>
      <c r="AL40" s="50">
        <f t="shared" si="84"/>
        <v>10968.79</v>
      </c>
      <c r="AM40" s="50">
        <f t="shared" si="84"/>
        <v>12998.125</v>
      </c>
      <c r="AN40" s="50">
        <f t="shared" si="84"/>
        <v>14351.014999999999</v>
      </c>
      <c r="AO40" s="50">
        <f t="shared" si="84"/>
        <v>17733.240000000002</v>
      </c>
      <c r="AP40" s="50">
        <f t="shared" si="84"/>
        <v>17733.240000000002</v>
      </c>
      <c r="AQ40" s="50">
        <f t="shared" si="84"/>
        <v>15027.46</v>
      </c>
      <c r="AR40" s="50">
        <f t="shared" si="84"/>
        <v>15027.46</v>
      </c>
      <c r="AS40" s="50">
        <f t="shared" si="84"/>
        <v>15027.46</v>
      </c>
      <c r="AT40" s="50">
        <f t="shared" si="84"/>
        <v>13674.57</v>
      </c>
      <c r="AU40" s="50">
        <f t="shared" si="84"/>
        <v>158683.28000000003</v>
      </c>
      <c r="AV40" s="50"/>
      <c r="AW40" s="50">
        <f t="shared" ref="AW40:BI40" si="85">AW33</f>
        <v>13657.07</v>
      </c>
      <c r="AX40" s="50">
        <f t="shared" si="85"/>
        <v>12304.18</v>
      </c>
      <c r="AY40" s="50">
        <f t="shared" si="85"/>
        <v>13657.07</v>
      </c>
      <c r="AZ40" s="50">
        <f t="shared" si="85"/>
        <v>14333.514999999999</v>
      </c>
      <c r="BA40" s="50">
        <f t="shared" si="85"/>
        <v>15686.405000000002</v>
      </c>
      <c r="BB40" s="50">
        <f t="shared" si="85"/>
        <v>17715.740000000002</v>
      </c>
      <c r="BC40" s="50">
        <f t="shared" si="85"/>
        <v>19745.075000000001</v>
      </c>
      <c r="BD40" s="50">
        <f t="shared" si="85"/>
        <v>21774.41</v>
      </c>
      <c r="BE40" s="50">
        <f t="shared" si="85"/>
        <v>19745.075000000001</v>
      </c>
      <c r="BF40" s="50">
        <f t="shared" si="85"/>
        <v>19068.63</v>
      </c>
      <c r="BG40" s="50">
        <f t="shared" si="85"/>
        <v>16362.85</v>
      </c>
      <c r="BH40" s="50">
        <f t="shared" si="85"/>
        <v>15009.96</v>
      </c>
      <c r="BI40" s="50">
        <f t="shared" si="85"/>
        <v>199059.98000000004</v>
      </c>
      <c r="BJ40" s="50"/>
      <c r="BK40" s="50">
        <f t="shared" ref="BK40:BW40" si="86">BK33</f>
        <v>14992.46</v>
      </c>
      <c r="BL40" s="50">
        <f t="shared" si="86"/>
        <v>13639.57</v>
      </c>
      <c r="BM40" s="50">
        <f t="shared" si="86"/>
        <v>14992.46</v>
      </c>
      <c r="BN40" s="50">
        <f t="shared" si="86"/>
        <v>15668.905000000002</v>
      </c>
      <c r="BO40" s="50">
        <f t="shared" si="86"/>
        <v>17021.794999999998</v>
      </c>
      <c r="BP40" s="50">
        <f t="shared" si="86"/>
        <v>12286.68</v>
      </c>
      <c r="BQ40" s="50">
        <f t="shared" si="86"/>
        <v>21080.465</v>
      </c>
      <c r="BR40" s="50">
        <f t="shared" si="86"/>
        <v>23109.800000000003</v>
      </c>
      <c r="BS40" s="50">
        <f t="shared" si="86"/>
        <v>21080.465</v>
      </c>
      <c r="BT40" s="50">
        <f t="shared" si="86"/>
        <v>20404.019999999997</v>
      </c>
      <c r="BU40" s="50">
        <f t="shared" si="86"/>
        <v>17698.240000000002</v>
      </c>
      <c r="BV40" s="50">
        <f t="shared" si="86"/>
        <v>16345.35</v>
      </c>
      <c r="BW40" s="50">
        <f t="shared" si="86"/>
        <v>208320.21</v>
      </c>
    </row>
    <row r="41" spans="1:75" ht="15.75" customHeight="1" x14ac:dyDescent="0.2">
      <c r="A41" s="45" t="s">
        <v>107</v>
      </c>
      <c r="B41" s="45"/>
      <c r="C41" s="45">
        <f>SUM(C38:C40)</f>
        <v>-252600</v>
      </c>
      <c r="D41" s="45">
        <f>C41+SUM(D38:D40)</f>
        <v>-552700</v>
      </c>
      <c r="E41" s="45"/>
      <c r="F41" s="45"/>
      <c r="G41" s="45">
        <f>D41-G40</f>
        <v>-553708</v>
      </c>
      <c r="H41" s="45">
        <f t="shared" ref="H41:S41" si="87">G41+SUM(H38:H40)</f>
        <v>-551090</v>
      </c>
      <c r="I41" s="45">
        <f t="shared" si="87"/>
        <v>-546799</v>
      </c>
      <c r="J41" s="45">
        <f t="shared" si="87"/>
        <v>-541671.5</v>
      </c>
      <c r="K41" s="45">
        <f t="shared" si="87"/>
        <v>-535707.5</v>
      </c>
      <c r="L41" s="45">
        <f t="shared" si="87"/>
        <v>-528070.5</v>
      </c>
      <c r="M41" s="45">
        <f t="shared" si="87"/>
        <v>-518760.5</v>
      </c>
      <c r="N41" s="45">
        <f t="shared" si="87"/>
        <v>-506941</v>
      </c>
      <c r="O41" s="45">
        <f t="shared" si="87"/>
        <v>-495121.5</v>
      </c>
      <c r="P41" s="45">
        <f t="shared" si="87"/>
        <v>-483302</v>
      </c>
      <c r="Q41" s="45">
        <f t="shared" si="87"/>
        <v>-473796</v>
      </c>
      <c r="R41" s="45">
        <f t="shared" si="87"/>
        <v>-464290</v>
      </c>
      <c r="S41" s="45">
        <f t="shared" si="87"/>
        <v>-373864</v>
      </c>
      <c r="T41" s="45"/>
      <c r="U41" s="45">
        <f>R41+SUM(U38:U40)</f>
        <v>-457362.38</v>
      </c>
      <c r="V41" s="45">
        <f t="shared" ref="V41:AG41" si="88">U41+SUM(V38:V40)</f>
        <v>-450434.76</v>
      </c>
      <c r="W41" s="45">
        <f t="shared" si="88"/>
        <v>-442830.69500000001</v>
      </c>
      <c r="X41" s="45">
        <f t="shared" si="88"/>
        <v>-434550.185</v>
      </c>
      <c r="Y41" s="45">
        <f t="shared" si="88"/>
        <v>-425593.23</v>
      </c>
      <c r="Z41" s="45">
        <f t="shared" si="88"/>
        <v>-415283.38500000001</v>
      </c>
      <c r="AA41" s="45">
        <f t="shared" si="88"/>
        <v>-404297.09500000003</v>
      </c>
      <c r="AB41" s="45">
        <f t="shared" si="88"/>
        <v>-393310.80500000005</v>
      </c>
      <c r="AC41" s="45">
        <f t="shared" si="88"/>
        <v>-382324.51500000007</v>
      </c>
      <c r="AD41" s="45">
        <f t="shared" si="88"/>
        <v>-372691.11500000005</v>
      </c>
      <c r="AE41" s="45">
        <f t="shared" si="88"/>
        <v>-364410.60500000004</v>
      </c>
      <c r="AF41" s="45">
        <f t="shared" si="88"/>
        <v>-356130.09500000003</v>
      </c>
      <c r="AG41" s="45">
        <f t="shared" si="88"/>
        <v>-247970.19000000003</v>
      </c>
      <c r="AH41" s="45"/>
      <c r="AI41" s="45">
        <f>AF41+SUM(AI38:AI40)</f>
        <v>-347867.08500000002</v>
      </c>
      <c r="AJ41" s="45">
        <f t="shared" ref="AJ41:AU41" si="89">AI41+SUM(AJ38:AJ40)</f>
        <v>-339604.07500000001</v>
      </c>
      <c r="AK41" s="45">
        <f t="shared" si="89"/>
        <v>-329988.17499999999</v>
      </c>
      <c r="AL41" s="45">
        <f t="shared" si="89"/>
        <v>-319019.38500000001</v>
      </c>
      <c r="AM41" s="45">
        <f t="shared" si="89"/>
        <v>-306021.26</v>
      </c>
      <c r="AN41" s="45">
        <f t="shared" si="89"/>
        <v>-291670.245</v>
      </c>
      <c r="AO41" s="45">
        <f t="shared" si="89"/>
        <v>-273937.005</v>
      </c>
      <c r="AP41" s="45">
        <f t="shared" si="89"/>
        <v>-256203.76500000001</v>
      </c>
      <c r="AQ41" s="45">
        <f t="shared" si="89"/>
        <v>-241176.30500000002</v>
      </c>
      <c r="AR41" s="45">
        <f t="shared" si="89"/>
        <v>-226148.84500000003</v>
      </c>
      <c r="AS41" s="45">
        <f t="shared" si="89"/>
        <v>-211121.38500000004</v>
      </c>
      <c r="AT41" s="45">
        <f t="shared" si="89"/>
        <v>-197446.81500000003</v>
      </c>
      <c r="AU41" s="45">
        <f t="shared" si="89"/>
        <v>-38763.535000000003</v>
      </c>
      <c r="AV41" s="45"/>
      <c r="AW41" s="45">
        <f>AT41+SUM(AW38:AW40)</f>
        <v>-183789.74500000002</v>
      </c>
      <c r="AX41" s="45">
        <f t="shared" ref="AX41:BI41" si="90">AW41+SUM(AX38:AX40)</f>
        <v>-171485.56500000003</v>
      </c>
      <c r="AY41" s="45">
        <f t="shared" si="90"/>
        <v>-157828.49500000002</v>
      </c>
      <c r="AZ41" s="45">
        <f t="shared" si="90"/>
        <v>-143494.98000000004</v>
      </c>
      <c r="BA41" s="45">
        <f t="shared" si="90"/>
        <v>-127808.57500000004</v>
      </c>
      <c r="BB41" s="45">
        <f t="shared" si="90"/>
        <v>-110092.83500000004</v>
      </c>
      <c r="BC41" s="45">
        <f t="shared" si="90"/>
        <v>-90347.760000000038</v>
      </c>
      <c r="BD41" s="45">
        <f t="shared" si="90"/>
        <v>-68573.350000000035</v>
      </c>
      <c r="BE41" s="45">
        <f t="shared" si="90"/>
        <v>-48828.275000000038</v>
      </c>
      <c r="BF41" s="45">
        <f t="shared" si="90"/>
        <v>-29759.645000000037</v>
      </c>
      <c r="BG41" s="45">
        <f t="shared" si="90"/>
        <v>-13396.795000000036</v>
      </c>
      <c r="BH41" s="45">
        <f t="shared" si="90"/>
        <v>1613.1649999999627</v>
      </c>
      <c r="BI41" s="45">
        <f t="shared" si="90"/>
        <v>200673.14499999999</v>
      </c>
      <c r="BJ41" s="45"/>
      <c r="BK41" s="45">
        <f>BH41+SUM(BK38:BK40)</f>
        <v>16605.624999999964</v>
      </c>
      <c r="BL41" s="45">
        <f t="shared" ref="BL41:BW41" si="91">BK41+SUM(BL38:BL40)</f>
        <v>30245.194999999963</v>
      </c>
      <c r="BM41" s="45">
        <f t="shared" si="91"/>
        <v>45237.654999999962</v>
      </c>
      <c r="BN41" s="45">
        <f t="shared" si="91"/>
        <v>60906.559999999969</v>
      </c>
      <c r="BO41" s="45">
        <f t="shared" si="91"/>
        <v>77928.354999999967</v>
      </c>
      <c r="BP41" s="45">
        <f t="shared" si="91"/>
        <v>90215.034999999974</v>
      </c>
      <c r="BQ41" s="45">
        <f t="shared" si="91"/>
        <v>111295.49999999997</v>
      </c>
      <c r="BR41" s="45">
        <f t="shared" si="91"/>
        <v>134405.29999999999</v>
      </c>
      <c r="BS41" s="45">
        <f t="shared" si="91"/>
        <v>155485.76499999998</v>
      </c>
      <c r="BT41" s="45">
        <f t="shared" si="91"/>
        <v>175889.78499999997</v>
      </c>
      <c r="BU41" s="45">
        <f t="shared" si="91"/>
        <v>193588.02499999997</v>
      </c>
      <c r="BV41" s="45">
        <f t="shared" si="91"/>
        <v>209933.37499999997</v>
      </c>
      <c r="BW41" s="45">
        <f t="shared" si="91"/>
        <v>418253.58499999996</v>
      </c>
    </row>
    <row r="42" spans="1:75" ht="15.75" customHeight="1" x14ac:dyDescent="0.2">
      <c r="A42" s="46"/>
      <c r="B42" s="58"/>
      <c r="C42" s="46"/>
      <c r="D42" s="46"/>
      <c r="E42" s="45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5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5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5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5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5"/>
    </row>
    <row r="43" spans="1:75" ht="15.75" customHeight="1" x14ac:dyDescent="0.2">
      <c r="A43" s="46"/>
      <c r="B43" s="58"/>
      <c r="C43" s="46"/>
      <c r="D43" s="46"/>
      <c r="E43" s="45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5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5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5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5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5"/>
    </row>
    <row r="44" spans="1:75" ht="15.75" customHeight="1" x14ac:dyDescent="0.2">
      <c r="A44" s="46"/>
      <c r="B44" s="58"/>
      <c r="C44" s="46"/>
      <c r="D44" s="46"/>
      <c r="E44" s="45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5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5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5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5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5"/>
    </row>
    <row r="45" spans="1:75" ht="15.75" customHeight="1" x14ac:dyDescent="0.2">
      <c r="A45" s="46"/>
      <c r="B45" s="46"/>
      <c r="C45" s="46"/>
      <c r="D45" s="46"/>
      <c r="E45" s="45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5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5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5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5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5"/>
    </row>
    <row r="46" spans="1:75" ht="15.75" customHeight="1" x14ac:dyDescent="0.2">
      <c r="A46" s="46"/>
      <c r="B46" s="46"/>
      <c r="C46" s="46"/>
      <c r="D46" s="46"/>
      <c r="E46" s="45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5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5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5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5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5"/>
    </row>
    <row r="47" spans="1:75" ht="15.75" customHeight="1" x14ac:dyDescent="0.2">
      <c r="A47" s="46"/>
      <c r="B47" s="46"/>
      <c r="C47" s="46"/>
      <c r="D47" s="46"/>
      <c r="E47" s="45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5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5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5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5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5"/>
    </row>
    <row r="48" spans="1:75" ht="15.75" customHeight="1" x14ac:dyDescent="0.2">
      <c r="A48" s="46"/>
      <c r="B48" s="46"/>
      <c r="C48" s="46"/>
      <c r="D48" s="46"/>
      <c r="E48" s="45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5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5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5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5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5"/>
    </row>
    <row r="49" spans="1:75" ht="15.75" customHeight="1" x14ac:dyDescent="0.2">
      <c r="A49" s="4"/>
      <c r="B49" s="4"/>
      <c r="C49" s="4"/>
      <c r="D49" s="4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1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1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1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1"/>
    </row>
    <row r="50" spans="1:75" ht="15.75" customHeight="1" x14ac:dyDescent="0.2">
      <c r="A50" s="4"/>
      <c r="B50" s="4"/>
      <c r="C50" s="4"/>
      <c r="D50" s="4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1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1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1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1"/>
    </row>
    <row r="51" spans="1:75" ht="15.75" customHeight="1" x14ac:dyDescent="0.2">
      <c r="A51" s="4"/>
      <c r="B51" s="4"/>
      <c r="C51" s="4"/>
      <c r="D51" s="4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1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1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1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1"/>
    </row>
    <row r="52" spans="1:75" ht="15.75" customHeight="1" x14ac:dyDescent="0.2">
      <c r="A52" s="4"/>
      <c r="B52" s="4"/>
      <c r="C52" s="4"/>
      <c r="D52" s="4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1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1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1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1"/>
    </row>
    <row r="53" spans="1:75" ht="15.75" customHeight="1" x14ac:dyDescent="0.2">
      <c r="A53" s="4"/>
      <c r="B53" s="4"/>
      <c r="C53" s="4"/>
      <c r="D53" s="4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1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1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1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1"/>
    </row>
    <row r="54" spans="1:75" ht="15.75" customHeight="1" x14ac:dyDescent="0.2">
      <c r="A54" s="4"/>
      <c r="B54" s="4"/>
      <c r="C54" s="4"/>
      <c r="D54" s="4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1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1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1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1"/>
    </row>
    <row r="55" spans="1:75" ht="15.75" customHeight="1" x14ac:dyDescent="0.2">
      <c r="A55" s="4"/>
      <c r="B55" s="4"/>
      <c r="C55" s="4"/>
      <c r="D55" s="4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1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1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1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1"/>
    </row>
    <row r="56" spans="1:75" ht="15.75" customHeight="1" x14ac:dyDescent="0.2">
      <c r="A56" s="4"/>
      <c r="B56" s="4"/>
      <c r="C56" s="4"/>
      <c r="D56" s="4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1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1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1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1"/>
    </row>
    <row r="57" spans="1:75" ht="15.75" customHeight="1" x14ac:dyDescent="0.2">
      <c r="A57" s="4"/>
      <c r="B57" s="4"/>
      <c r="C57" s="4"/>
      <c r="D57" s="4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1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1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1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1"/>
    </row>
    <row r="58" spans="1:75" ht="15.75" customHeight="1" x14ac:dyDescent="0.2">
      <c r="A58" s="4"/>
      <c r="B58" s="4"/>
      <c r="C58" s="4"/>
      <c r="D58" s="4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1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1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1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1"/>
    </row>
    <row r="59" spans="1:75" ht="15.75" customHeight="1" x14ac:dyDescent="0.2">
      <c r="A59" s="4"/>
      <c r="B59" s="4"/>
      <c r="C59" s="4"/>
      <c r="D59" s="4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1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1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1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1"/>
    </row>
    <row r="60" spans="1:75" ht="15.75" customHeight="1" x14ac:dyDescent="0.2">
      <c r="A60" s="4"/>
      <c r="B60" s="4"/>
      <c r="C60" s="4"/>
      <c r="D60" s="4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1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1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1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1"/>
    </row>
    <row r="61" spans="1:75" ht="15.75" customHeight="1" x14ac:dyDescent="0.2">
      <c r="A61" s="4"/>
      <c r="B61" s="4"/>
      <c r="C61" s="4"/>
      <c r="D61" s="4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1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1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1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1"/>
    </row>
    <row r="62" spans="1:75" ht="15.75" customHeight="1" x14ac:dyDescent="0.2">
      <c r="A62" s="4"/>
      <c r="B62" s="4"/>
      <c r="C62" s="4"/>
      <c r="D62" s="4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1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1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1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1"/>
    </row>
    <row r="63" spans="1:75" ht="15.75" customHeight="1" x14ac:dyDescent="0.2">
      <c r="A63" s="4"/>
      <c r="B63" s="4"/>
      <c r="C63" s="4"/>
      <c r="D63" s="4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1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1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1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1"/>
    </row>
    <row r="64" spans="1:75" ht="15.75" customHeight="1" x14ac:dyDescent="0.2">
      <c r="A64" s="4"/>
      <c r="B64" s="4"/>
      <c r="C64" s="4"/>
      <c r="D64" s="4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1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1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1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1"/>
    </row>
    <row r="65" spans="1:75" ht="15.75" customHeight="1" x14ac:dyDescent="0.2">
      <c r="A65" s="4"/>
      <c r="B65" s="4"/>
      <c r="C65" s="4"/>
      <c r="D65" s="4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1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1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1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1"/>
    </row>
    <row r="66" spans="1:75" ht="15.75" customHeight="1" x14ac:dyDescent="0.2">
      <c r="A66" s="4"/>
      <c r="B66" s="4"/>
      <c r="C66" s="4"/>
      <c r="D66" s="4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1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1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1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1"/>
    </row>
    <row r="67" spans="1:75" ht="15.75" customHeight="1" x14ac:dyDescent="0.2">
      <c r="A67" s="4"/>
      <c r="B67" s="4"/>
      <c r="C67" s="4"/>
      <c r="D67" s="4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1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1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1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1"/>
    </row>
    <row r="68" spans="1:75" ht="15.75" customHeight="1" x14ac:dyDescent="0.2">
      <c r="A68" s="4"/>
      <c r="B68" s="4"/>
      <c r="C68" s="4"/>
      <c r="D68" s="4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1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1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1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1"/>
    </row>
    <row r="69" spans="1:75" ht="15.75" customHeight="1" x14ac:dyDescent="0.2">
      <c r="A69" s="4"/>
      <c r="B69" s="4"/>
      <c r="C69" s="4"/>
      <c r="D69" s="4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1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1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1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1"/>
    </row>
    <row r="70" spans="1:75" ht="15.75" customHeight="1" x14ac:dyDescent="0.2">
      <c r="A70" s="4"/>
      <c r="B70" s="4"/>
      <c r="C70" s="4"/>
      <c r="D70" s="4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1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1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1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1"/>
    </row>
    <row r="71" spans="1:75" ht="15.75" customHeight="1" x14ac:dyDescent="0.2">
      <c r="A71" s="4"/>
      <c r="B71" s="4"/>
      <c r="C71" s="4"/>
      <c r="D71" s="4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1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1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1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1"/>
    </row>
    <row r="72" spans="1:75" ht="15.75" customHeight="1" x14ac:dyDescent="0.2">
      <c r="A72" s="4"/>
      <c r="B72" s="4"/>
      <c r="C72" s="4"/>
      <c r="D72" s="4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1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1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1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1"/>
    </row>
    <row r="73" spans="1:75" ht="15.75" customHeight="1" x14ac:dyDescent="0.2">
      <c r="A73" s="4"/>
      <c r="B73" s="4"/>
      <c r="C73" s="4"/>
      <c r="D73" s="4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1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1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1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1"/>
    </row>
    <row r="74" spans="1:75" ht="15.75" customHeight="1" x14ac:dyDescent="0.2">
      <c r="A74" s="4"/>
      <c r="B74" s="4"/>
      <c r="C74" s="4"/>
      <c r="D74" s="4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1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1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1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1"/>
    </row>
    <row r="75" spans="1:75" ht="15.75" customHeight="1" x14ac:dyDescent="0.2">
      <c r="A75" s="4"/>
      <c r="B75" s="4"/>
      <c r="C75" s="4"/>
      <c r="D75" s="4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1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1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1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1"/>
    </row>
    <row r="76" spans="1:75" ht="15.75" customHeight="1" x14ac:dyDescent="0.2">
      <c r="A76" s="4"/>
      <c r="B76" s="4"/>
      <c r="C76" s="4"/>
      <c r="D76" s="4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1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1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1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1"/>
    </row>
    <row r="77" spans="1:75" ht="15.75" customHeight="1" x14ac:dyDescent="0.2">
      <c r="A77" s="4"/>
      <c r="B77" s="4"/>
      <c r="C77" s="4"/>
      <c r="D77" s="4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1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1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1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1"/>
    </row>
    <row r="78" spans="1:75" ht="15.75" customHeight="1" x14ac:dyDescent="0.2">
      <c r="A78" s="4"/>
      <c r="B78" s="4"/>
      <c r="C78" s="4"/>
      <c r="D78" s="4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1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1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1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1"/>
    </row>
    <row r="79" spans="1:75" ht="15.75" customHeight="1" x14ac:dyDescent="0.2">
      <c r="A79" s="4"/>
      <c r="B79" s="4"/>
      <c r="C79" s="4"/>
      <c r="D79" s="4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1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1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1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1"/>
    </row>
    <row r="80" spans="1:75" ht="15.75" customHeight="1" x14ac:dyDescent="0.2">
      <c r="A80" s="4"/>
      <c r="B80" s="4"/>
      <c r="C80" s="4"/>
      <c r="D80" s="4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1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1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1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1"/>
    </row>
    <row r="81" spans="1:75" ht="15.75" customHeight="1" x14ac:dyDescent="0.2">
      <c r="A81" s="4"/>
      <c r="B81" s="4"/>
      <c r="C81" s="4"/>
      <c r="D81" s="4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1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1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1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1"/>
    </row>
    <row r="82" spans="1:75" ht="15.75" customHeight="1" x14ac:dyDescent="0.2">
      <c r="A82" s="4"/>
      <c r="B82" s="4"/>
      <c r="C82" s="4"/>
      <c r="D82" s="4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1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1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1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1"/>
    </row>
    <row r="83" spans="1:75" ht="15.75" customHeight="1" x14ac:dyDescent="0.2">
      <c r="A83" s="4"/>
      <c r="B83" s="4"/>
      <c r="C83" s="4"/>
      <c r="D83" s="4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1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1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1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1"/>
    </row>
    <row r="84" spans="1:75" ht="15.75" customHeight="1" x14ac:dyDescent="0.2">
      <c r="A84" s="4"/>
      <c r="B84" s="4"/>
      <c r="C84" s="4"/>
      <c r="D84" s="4"/>
      <c r="E84" s="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1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1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1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1"/>
    </row>
    <row r="85" spans="1:75" ht="15.75" customHeight="1" x14ac:dyDescent="0.2">
      <c r="A85" s="4"/>
      <c r="B85" s="4"/>
      <c r="C85" s="4"/>
      <c r="D85" s="4"/>
      <c r="E85" s="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1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1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1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1"/>
    </row>
    <row r="86" spans="1:75" ht="15.75" customHeight="1" x14ac:dyDescent="0.2">
      <c r="A86" s="4"/>
      <c r="B86" s="4"/>
      <c r="C86" s="4"/>
      <c r="D86" s="4"/>
      <c r="E86" s="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1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1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1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1"/>
    </row>
    <row r="87" spans="1:75" ht="15.75" customHeight="1" x14ac:dyDescent="0.2">
      <c r="A87" s="4"/>
      <c r="B87" s="4"/>
      <c r="C87" s="4"/>
      <c r="D87" s="4"/>
      <c r="E87" s="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1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1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1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1"/>
    </row>
    <row r="88" spans="1:75" ht="15.75" customHeight="1" x14ac:dyDescent="0.2">
      <c r="A88" s="4"/>
      <c r="B88" s="4"/>
      <c r="C88" s="4"/>
      <c r="D88" s="4"/>
      <c r="E88" s="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1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1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1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1"/>
    </row>
    <row r="89" spans="1:75" ht="15.75" customHeight="1" x14ac:dyDescent="0.2">
      <c r="A89" s="4"/>
      <c r="B89" s="4"/>
      <c r="C89" s="4"/>
      <c r="D89" s="4"/>
      <c r="E89" s="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1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1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1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1"/>
    </row>
    <row r="90" spans="1:75" ht="15.75" customHeight="1" x14ac:dyDescent="0.2">
      <c r="A90" s="4"/>
      <c r="B90" s="4"/>
      <c r="C90" s="4"/>
      <c r="D90" s="4"/>
      <c r="E90" s="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1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1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1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1"/>
    </row>
    <row r="91" spans="1:75" ht="15.75" customHeight="1" x14ac:dyDescent="0.2">
      <c r="A91" s="4"/>
      <c r="B91" s="4"/>
      <c r="C91" s="4"/>
      <c r="D91" s="4"/>
      <c r="E91" s="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1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1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1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1"/>
    </row>
    <row r="92" spans="1:75" ht="15.75" customHeight="1" x14ac:dyDescent="0.2">
      <c r="A92" s="4"/>
      <c r="B92" s="4"/>
      <c r="C92" s="4"/>
      <c r="D92" s="4"/>
      <c r="E92" s="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1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1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1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1"/>
    </row>
    <row r="93" spans="1:75" ht="15.75" customHeight="1" x14ac:dyDescent="0.2">
      <c r="A93" s="4"/>
      <c r="B93" s="4"/>
      <c r="C93" s="4"/>
      <c r="D93" s="4"/>
      <c r="E93" s="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1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1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1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1"/>
    </row>
    <row r="94" spans="1:75" ht="15.75" customHeight="1" x14ac:dyDescent="0.2">
      <c r="A94" s="4"/>
      <c r="B94" s="4"/>
      <c r="C94" s="4"/>
      <c r="D94" s="4"/>
      <c r="E94" s="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1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1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1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1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1"/>
    </row>
    <row r="95" spans="1:75" ht="15.75" customHeight="1" x14ac:dyDescent="0.2">
      <c r="A95" s="4"/>
      <c r="B95" s="4"/>
      <c r="C95" s="4"/>
      <c r="D95" s="4"/>
      <c r="E95" s="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1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1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1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1"/>
    </row>
    <row r="96" spans="1:75" ht="15.75" customHeight="1" x14ac:dyDescent="0.2">
      <c r="A96" s="4"/>
      <c r="B96" s="4"/>
      <c r="C96" s="4"/>
      <c r="D96" s="4"/>
      <c r="E96" s="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1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1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1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1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1"/>
    </row>
    <row r="97" spans="1:75" ht="15.75" customHeight="1" x14ac:dyDescent="0.2">
      <c r="A97" s="4"/>
      <c r="B97" s="4"/>
      <c r="C97" s="4"/>
      <c r="D97" s="4"/>
      <c r="E97" s="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1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1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1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1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1"/>
    </row>
    <row r="98" spans="1:75" ht="15.75" customHeight="1" x14ac:dyDescent="0.2">
      <c r="A98" s="4"/>
      <c r="B98" s="4"/>
      <c r="C98" s="4"/>
      <c r="D98" s="4"/>
      <c r="E98" s="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1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1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1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1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1"/>
    </row>
    <row r="99" spans="1:75" ht="15.75" customHeight="1" x14ac:dyDescent="0.2">
      <c r="A99" s="4"/>
      <c r="B99" s="4"/>
      <c r="C99" s="4"/>
      <c r="D99" s="4"/>
      <c r="E99" s="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1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1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1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1"/>
    </row>
    <row r="100" spans="1:75" ht="15.75" customHeight="1" x14ac:dyDescent="0.2">
      <c r="A100" s="4"/>
      <c r="B100" s="4"/>
      <c r="C100" s="4"/>
      <c r="D100" s="4"/>
      <c r="E100" s="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1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1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1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1"/>
    </row>
    <row r="101" spans="1:75" ht="15.75" customHeight="1" x14ac:dyDescent="0.2">
      <c r="A101" s="4"/>
      <c r="B101" s="4"/>
      <c r="C101" s="4"/>
      <c r="D101" s="4"/>
      <c r="E101" s="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1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1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1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1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1"/>
    </row>
    <row r="102" spans="1:75" ht="15.75" customHeight="1" x14ac:dyDescent="0.2">
      <c r="A102" s="4"/>
      <c r="B102" s="4"/>
      <c r="C102" s="4"/>
      <c r="D102" s="4"/>
      <c r="E102" s="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1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1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1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1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1"/>
    </row>
    <row r="103" spans="1:75" ht="15.75" customHeight="1" x14ac:dyDescent="0.2">
      <c r="A103" s="4"/>
      <c r="B103" s="4"/>
      <c r="C103" s="4"/>
      <c r="D103" s="4"/>
      <c r="E103" s="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1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1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1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1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1"/>
    </row>
    <row r="104" spans="1:75" ht="15.75" customHeight="1" x14ac:dyDescent="0.2">
      <c r="A104" s="4"/>
      <c r="B104" s="4"/>
      <c r="C104" s="4"/>
      <c r="D104" s="4"/>
      <c r="E104" s="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1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1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1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1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1"/>
    </row>
    <row r="105" spans="1:75" ht="15.75" customHeight="1" x14ac:dyDescent="0.2">
      <c r="A105" s="4"/>
      <c r="B105" s="4"/>
      <c r="C105" s="4"/>
      <c r="D105" s="4"/>
      <c r="E105" s="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1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1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1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1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1"/>
    </row>
    <row r="106" spans="1:75" ht="15.75" customHeight="1" x14ac:dyDescent="0.2">
      <c r="A106" s="4"/>
      <c r="B106" s="4"/>
      <c r="C106" s="4"/>
      <c r="D106" s="4"/>
      <c r="E106" s="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1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1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1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1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1"/>
    </row>
    <row r="107" spans="1:75" ht="15.75" customHeight="1" x14ac:dyDescent="0.2">
      <c r="A107" s="4"/>
      <c r="B107" s="4"/>
      <c r="C107" s="4"/>
      <c r="D107" s="4"/>
      <c r="E107" s="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1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1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1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1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1"/>
    </row>
    <row r="108" spans="1:75" ht="15.75" customHeight="1" x14ac:dyDescent="0.2">
      <c r="A108" s="4"/>
      <c r="B108" s="4"/>
      <c r="C108" s="4"/>
      <c r="D108" s="4"/>
      <c r="E108" s="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1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1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1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1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1"/>
    </row>
    <row r="109" spans="1:75" ht="15.75" customHeight="1" x14ac:dyDescent="0.2">
      <c r="A109" s="4"/>
      <c r="B109" s="4"/>
      <c r="C109" s="4"/>
      <c r="D109" s="4"/>
      <c r="E109" s="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1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1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1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1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1"/>
    </row>
    <row r="110" spans="1:75" ht="15.75" customHeight="1" x14ac:dyDescent="0.2">
      <c r="A110" s="4"/>
      <c r="B110" s="4"/>
      <c r="C110" s="4"/>
      <c r="D110" s="4"/>
      <c r="E110" s="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1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1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1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1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1"/>
    </row>
    <row r="111" spans="1:75" ht="15.75" customHeight="1" x14ac:dyDescent="0.2">
      <c r="A111" s="4"/>
      <c r="B111" s="4"/>
      <c r="C111" s="4"/>
      <c r="D111" s="4"/>
      <c r="E111" s="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1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1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1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1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1"/>
    </row>
    <row r="112" spans="1:75" ht="15.75" customHeight="1" x14ac:dyDescent="0.2">
      <c r="A112" s="4"/>
      <c r="B112" s="4"/>
      <c r="C112" s="4"/>
      <c r="D112" s="4"/>
      <c r="E112" s="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1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1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1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1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1"/>
    </row>
    <row r="113" spans="1:75" ht="15.75" customHeight="1" x14ac:dyDescent="0.2">
      <c r="A113" s="4"/>
      <c r="B113" s="4"/>
      <c r="C113" s="4"/>
      <c r="D113" s="4"/>
      <c r="E113" s="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1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1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1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1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1"/>
    </row>
    <row r="114" spans="1:75" ht="15.75" customHeight="1" x14ac:dyDescent="0.2">
      <c r="A114" s="4"/>
      <c r="B114" s="4"/>
      <c r="C114" s="4"/>
      <c r="D114" s="4"/>
      <c r="E114" s="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1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1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1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1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1"/>
    </row>
    <row r="115" spans="1:75" ht="15.75" customHeight="1" x14ac:dyDescent="0.2">
      <c r="A115" s="4"/>
      <c r="B115" s="4"/>
      <c r="C115" s="4"/>
      <c r="D115" s="4"/>
      <c r="E115" s="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1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1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1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1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1"/>
    </row>
    <row r="116" spans="1:75" ht="15.75" customHeight="1" x14ac:dyDescent="0.2">
      <c r="A116" s="4"/>
      <c r="B116" s="4"/>
      <c r="C116" s="4"/>
      <c r="D116" s="4"/>
      <c r="E116" s="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1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1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1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1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1"/>
    </row>
    <row r="117" spans="1:75" ht="15.75" customHeight="1" x14ac:dyDescent="0.2">
      <c r="A117" s="4"/>
      <c r="B117" s="4"/>
      <c r="C117" s="4"/>
      <c r="D117" s="4"/>
      <c r="E117" s="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1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1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1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1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1"/>
    </row>
    <row r="118" spans="1:75" ht="15.75" customHeight="1" x14ac:dyDescent="0.2">
      <c r="A118" s="4"/>
      <c r="B118" s="4"/>
      <c r="C118" s="4"/>
      <c r="D118" s="4"/>
      <c r="E118" s="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1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1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1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1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1"/>
    </row>
    <row r="119" spans="1:75" ht="15.75" customHeight="1" x14ac:dyDescent="0.2">
      <c r="A119" s="4"/>
      <c r="B119" s="4"/>
      <c r="C119" s="4"/>
      <c r="D119" s="4"/>
      <c r="E119" s="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1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1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1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1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1"/>
    </row>
    <row r="120" spans="1:75" ht="15.75" customHeight="1" x14ac:dyDescent="0.2">
      <c r="A120" s="4"/>
      <c r="B120" s="4"/>
      <c r="C120" s="4"/>
      <c r="D120" s="4"/>
      <c r="E120" s="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1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1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1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1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1"/>
    </row>
    <row r="121" spans="1:75" ht="15.75" customHeight="1" x14ac:dyDescent="0.2">
      <c r="A121" s="4"/>
      <c r="B121" s="4"/>
      <c r="C121" s="4"/>
      <c r="D121" s="4"/>
      <c r="E121" s="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1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1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1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1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1"/>
    </row>
    <row r="122" spans="1:75" ht="15.75" customHeight="1" x14ac:dyDescent="0.2">
      <c r="A122" s="4"/>
      <c r="B122" s="4"/>
      <c r="C122" s="4"/>
      <c r="D122" s="4"/>
      <c r="E122" s="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1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1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1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1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1"/>
    </row>
    <row r="123" spans="1:75" ht="15.75" customHeight="1" x14ac:dyDescent="0.2">
      <c r="A123" s="4"/>
      <c r="B123" s="4"/>
      <c r="C123" s="4"/>
      <c r="D123" s="4"/>
      <c r="E123" s="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1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1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1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1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1"/>
    </row>
    <row r="124" spans="1:75" ht="15.75" customHeight="1" x14ac:dyDescent="0.2">
      <c r="A124" s="4"/>
      <c r="B124" s="4"/>
      <c r="C124" s="4"/>
      <c r="D124" s="4"/>
      <c r="E124" s="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1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1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1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1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1"/>
    </row>
    <row r="125" spans="1:75" ht="15.75" customHeight="1" x14ac:dyDescent="0.2">
      <c r="A125" s="4"/>
      <c r="B125" s="4"/>
      <c r="C125" s="4"/>
      <c r="D125" s="4"/>
      <c r="E125" s="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1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1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1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1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1"/>
    </row>
    <row r="126" spans="1:75" ht="15.75" customHeight="1" x14ac:dyDescent="0.2">
      <c r="A126" s="4"/>
      <c r="B126" s="4"/>
      <c r="C126" s="4"/>
      <c r="D126" s="4"/>
      <c r="E126" s="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1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1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1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1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1"/>
    </row>
    <row r="127" spans="1:75" ht="15.75" customHeight="1" x14ac:dyDescent="0.2">
      <c r="A127" s="4"/>
      <c r="B127" s="4"/>
      <c r="C127" s="4"/>
      <c r="D127" s="4"/>
      <c r="E127" s="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1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1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1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1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1"/>
    </row>
    <row r="128" spans="1:75" ht="15.75" customHeight="1" x14ac:dyDescent="0.2">
      <c r="A128" s="4"/>
      <c r="B128" s="4"/>
      <c r="C128" s="4"/>
      <c r="D128" s="4"/>
      <c r="E128" s="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1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1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1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1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1"/>
    </row>
    <row r="129" spans="1:75" ht="15.75" customHeight="1" x14ac:dyDescent="0.2">
      <c r="A129" s="4"/>
      <c r="B129" s="4"/>
      <c r="C129" s="4"/>
      <c r="D129" s="4"/>
      <c r="E129" s="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1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1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1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1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1"/>
    </row>
    <row r="130" spans="1:75" ht="15.75" customHeight="1" x14ac:dyDescent="0.2">
      <c r="A130" s="4"/>
      <c r="B130" s="4"/>
      <c r="C130" s="4"/>
      <c r="D130" s="4"/>
      <c r="E130" s="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1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1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1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1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1"/>
    </row>
    <row r="131" spans="1:75" ht="15.75" customHeight="1" x14ac:dyDescent="0.2">
      <c r="A131" s="4"/>
      <c r="B131" s="4"/>
      <c r="C131" s="4"/>
      <c r="D131" s="4"/>
      <c r="E131" s="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1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1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1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1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1"/>
    </row>
    <row r="132" spans="1:75" ht="15.75" customHeight="1" x14ac:dyDescent="0.2">
      <c r="A132" s="4"/>
      <c r="B132" s="4"/>
      <c r="C132" s="4"/>
      <c r="D132" s="4"/>
      <c r="E132" s="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1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1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1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1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1"/>
    </row>
    <row r="133" spans="1:75" ht="15.75" customHeight="1" x14ac:dyDescent="0.2">
      <c r="A133" s="4"/>
      <c r="B133" s="4"/>
      <c r="C133" s="4"/>
      <c r="D133" s="4"/>
      <c r="E133" s="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1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1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1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1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1"/>
    </row>
    <row r="134" spans="1:75" ht="15.75" customHeight="1" x14ac:dyDescent="0.2">
      <c r="A134" s="4"/>
      <c r="B134" s="4"/>
      <c r="C134" s="4"/>
      <c r="D134" s="4"/>
      <c r="E134" s="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1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1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1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1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1"/>
    </row>
    <row r="135" spans="1:75" ht="15.75" customHeight="1" x14ac:dyDescent="0.2">
      <c r="A135" s="4"/>
      <c r="B135" s="4"/>
      <c r="C135" s="4"/>
      <c r="D135" s="4"/>
      <c r="E135" s="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1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1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1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1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1"/>
    </row>
    <row r="136" spans="1:75" ht="15.75" customHeight="1" x14ac:dyDescent="0.2">
      <c r="A136" s="4"/>
      <c r="B136" s="4"/>
      <c r="C136" s="4"/>
      <c r="D136" s="4"/>
      <c r="E136" s="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1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1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1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1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1"/>
    </row>
    <row r="137" spans="1:75" ht="15.75" customHeight="1" x14ac:dyDescent="0.2">
      <c r="A137" s="4"/>
      <c r="B137" s="4"/>
      <c r="C137" s="4"/>
      <c r="D137" s="4"/>
      <c r="E137" s="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1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1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1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1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1"/>
    </row>
    <row r="138" spans="1:75" ht="15.75" customHeight="1" x14ac:dyDescent="0.2">
      <c r="A138" s="4"/>
      <c r="B138" s="4"/>
      <c r="C138" s="4"/>
      <c r="D138" s="4"/>
      <c r="E138" s="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1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1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1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1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1"/>
    </row>
    <row r="139" spans="1:75" ht="15.75" customHeight="1" x14ac:dyDescent="0.2">
      <c r="A139" s="4"/>
      <c r="B139" s="4"/>
      <c r="C139" s="4"/>
      <c r="D139" s="4"/>
      <c r="E139" s="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1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1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1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1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1"/>
    </row>
    <row r="140" spans="1:75" ht="15.75" customHeight="1" x14ac:dyDescent="0.2">
      <c r="A140" s="4"/>
      <c r="B140" s="4"/>
      <c r="C140" s="4"/>
      <c r="D140" s="4"/>
      <c r="E140" s="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1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1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1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1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1"/>
    </row>
    <row r="141" spans="1:75" ht="15.75" customHeight="1" x14ac:dyDescent="0.2">
      <c r="A141" s="4"/>
      <c r="B141" s="4"/>
      <c r="C141" s="4"/>
      <c r="D141" s="4"/>
      <c r="E141" s="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1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1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1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1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1"/>
    </row>
    <row r="142" spans="1:75" ht="15.75" customHeight="1" x14ac:dyDescent="0.2">
      <c r="A142" s="4"/>
      <c r="B142" s="4"/>
      <c r="C142" s="4"/>
      <c r="D142" s="4"/>
      <c r="E142" s="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1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1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1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1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1"/>
    </row>
    <row r="143" spans="1:75" ht="15.75" customHeight="1" x14ac:dyDescent="0.2">
      <c r="A143" s="4"/>
      <c r="B143" s="4"/>
      <c r="C143" s="4"/>
      <c r="D143" s="4"/>
      <c r="E143" s="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1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1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1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1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1"/>
    </row>
    <row r="144" spans="1:75" ht="15.75" customHeight="1" x14ac:dyDescent="0.2">
      <c r="A144" s="4"/>
      <c r="B144" s="4"/>
      <c r="C144" s="4"/>
      <c r="D144" s="4"/>
      <c r="E144" s="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1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1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1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1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1"/>
    </row>
    <row r="145" spans="1:75" ht="15.75" customHeight="1" x14ac:dyDescent="0.2">
      <c r="A145" s="4"/>
      <c r="B145" s="4"/>
      <c r="C145" s="4"/>
      <c r="D145" s="4"/>
      <c r="E145" s="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1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1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1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1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1"/>
    </row>
    <row r="146" spans="1:75" ht="15.75" customHeight="1" x14ac:dyDescent="0.2">
      <c r="A146" s="4"/>
      <c r="B146" s="4"/>
      <c r="C146" s="4"/>
      <c r="D146" s="4"/>
      <c r="E146" s="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1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1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1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1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1"/>
    </row>
    <row r="147" spans="1:75" ht="15.75" customHeight="1" x14ac:dyDescent="0.2">
      <c r="A147" s="4"/>
      <c r="B147" s="4"/>
      <c r="C147" s="4"/>
      <c r="D147" s="4"/>
      <c r="E147" s="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1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1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1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1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1"/>
    </row>
    <row r="148" spans="1:75" ht="15.75" customHeight="1" x14ac:dyDescent="0.2">
      <c r="A148" s="4"/>
      <c r="B148" s="4"/>
      <c r="C148" s="4"/>
      <c r="D148" s="4"/>
      <c r="E148" s="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1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1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1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1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1"/>
    </row>
    <row r="149" spans="1:75" ht="15.75" customHeight="1" x14ac:dyDescent="0.2">
      <c r="A149" s="4"/>
      <c r="B149" s="4"/>
      <c r="C149" s="4"/>
      <c r="D149" s="4"/>
      <c r="E149" s="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1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1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1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1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1"/>
    </row>
    <row r="150" spans="1:75" ht="15.75" customHeight="1" x14ac:dyDescent="0.2">
      <c r="A150" s="4"/>
      <c r="B150" s="4"/>
      <c r="C150" s="4"/>
      <c r="D150" s="4"/>
      <c r="E150" s="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1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1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1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1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1"/>
    </row>
    <row r="151" spans="1:75" ht="15.75" customHeight="1" x14ac:dyDescent="0.2">
      <c r="A151" s="4"/>
      <c r="B151" s="4"/>
      <c r="C151" s="4"/>
      <c r="D151" s="4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1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1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1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1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1"/>
    </row>
    <row r="152" spans="1:75" ht="15.75" customHeight="1" x14ac:dyDescent="0.2">
      <c r="A152" s="4"/>
      <c r="B152" s="4"/>
      <c r="C152" s="4"/>
      <c r="D152" s="4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1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1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1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1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1"/>
    </row>
    <row r="153" spans="1:75" ht="15.75" customHeight="1" x14ac:dyDescent="0.2">
      <c r="A153" s="4"/>
      <c r="B153" s="4"/>
      <c r="C153" s="4"/>
      <c r="D153" s="4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1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1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1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1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1"/>
    </row>
    <row r="154" spans="1:75" ht="15.75" customHeight="1" x14ac:dyDescent="0.2">
      <c r="A154" s="4"/>
      <c r="B154" s="4"/>
      <c r="C154" s="4"/>
      <c r="D154" s="4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1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1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1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1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1"/>
    </row>
    <row r="155" spans="1:75" ht="15.75" customHeight="1" x14ac:dyDescent="0.2">
      <c r="A155" s="4"/>
      <c r="B155" s="4"/>
      <c r="C155" s="4"/>
      <c r="D155" s="4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1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1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1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1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1"/>
    </row>
    <row r="156" spans="1:75" ht="15.75" customHeight="1" x14ac:dyDescent="0.2">
      <c r="A156" s="4"/>
      <c r="B156" s="4"/>
      <c r="C156" s="4"/>
      <c r="D156" s="4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1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1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1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1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1"/>
    </row>
    <row r="157" spans="1:75" ht="15.75" customHeight="1" x14ac:dyDescent="0.2">
      <c r="A157" s="4"/>
      <c r="B157" s="4"/>
      <c r="C157" s="4"/>
      <c r="D157" s="4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1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1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1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1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1"/>
    </row>
    <row r="158" spans="1:75" ht="15.75" customHeight="1" x14ac:dyDescent="0.2">
      <c r="A158" s="4"/>
      <c r="B158" s="4"/>
      <c r="C158" s="4"/>
      <c r="D158" s="4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1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1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1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1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1"/>
    </row>
    <row r="159" spans="1:75" ht="15.75" customHeight="1" x14ac:dyDescent="0.2">
      <c r="A159" s="4"/>
      <c r="B159" s="4"/>
      <c r="C159" s="4"/>
      <c r="D159" s="4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1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1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1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1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1"/>
    </row>
    <row r="160" spans="1:75" ht="15.75" customHeight="1" x14ac:dyDescent="0.2">
      <c r="A160" s="4"/>
      <c r="B160" s="4"/>
      <c r="C160" s="4"/>
      <c r="D160" s="4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1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1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1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1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1"/>
    </row>
    <row r="161" spans="1:75" ht="15.75" customHeight="1" x14ac:dyDescent="0.2">
      <c r="A161" s="4"/>
      <c r="B161" s="4"/>
      <c r="C161" s="4"/>
      <c r="D161" s="4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1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1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1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1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1"/>
    </row>
    <row r="162" spans="1:75" ht="15.75" customHeight="1" x14ac:dyDescent="0.2">
      <c r="A162" s="4"/>
      <c r="B162" s="4"/>
      <c r="C162" s="4"/>
      <c r="D162" s="4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1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1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1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1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1"/>
    </row>
    <row r="163" spans="1:75" ht="15.75" customHeight="1" x14ac:dyDescent="0.2">
      <c r="A163" s="4"/>
      <c r="B163" s="4"/>
      <c r="C163" s="4"/>
      <c r="D163" s="4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1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1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1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1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1"/>
    </row>
    <row r="164" spans="1:75" ht="15.75" customHeight="1" x14ac:dyDescent="0.2">
      <c r="A164" s="4"/>
      <c r="B164" s="4"/>
      <c r="C164" s="4"/>
      <c r="D164" s="4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1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1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1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1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1"/>
    </row>
    <row r="165" spans="1:75" ht="15.75" customHeight="1" x14ac:dyDescent="0.2">
      <c r="A165" s="4"/>
      <c r="B165" s="4"/>
      <c r="C165" s="4"/>
      <c r="D165" s="4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1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1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1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1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1"/>
    </row>
    <row r="166" spans="1:75" ht="15.75" customHeight="1" x14ac:dyDescent="0.2">
      <c r="A166" s="4"/>
      <c r="B166" s="4"/>
      <c r="C166" s="4"/>
      <c r="D166" s="4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1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1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1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1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1"/>
    </row>
    <row r="167" spans="1:75" ht="15.75" customHeight="1" x14ac:dyDescent="0.2">
      <c r="A167" s="4"/>
      <c r="B167" s="4"/>
      <c r="C167" s="4"/>
      <c r="D167" s="4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1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1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1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1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1"/>
    </row>
    <row r="168" spans="1:75" ht="15.75" customHeight="1" x14ac:dyDescent="0.2">
      <c r="A168" s="4"/>
      <c r="B168" s="4"/>
      <c r="C168" s="4"/>
      <c r="D168" s="4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1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1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1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1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1"/>
    </row>
    <row r="169" spans="1:75" ht="15.75" customHeight="1" x14ac:dyDescent="0.2">
      <c r="A169" s="4"/>
      <c r="B169" s="4"/>
      <c r="C169" s="4"/>
      <c r="D169" s="4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1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1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1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1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1"/>
    </row>
    <row r="170" spans="1:75" ht="15.75" customHeight="1" x14ac:dyDescent="0.2">
      <c r="A170" s="4"/>
      <c r="B170" s="4"/>
      <c r="C170" s="4"/>
      <c r="D170" s="4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1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1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1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1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1"/>
    </row>
    <row r="171" spans="1:75" ht="15.75" customHeight="1" x14ac:dyDescent="0.2">
      <c r="A171" s="4"/>
      <c r="B171" s="4"/>
      <c r="C171" s="4"/>
      <c r="D171" s="4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1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1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1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1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1"/>
    </row>
    <row r="172" spans="1:75" ht="15.75" customHeight="1" x14ac:dyDescent="0.2">
      <c r="A172" s="4"/>
      <c r="B172" s="4"/>
      <c r="C172" s="4"/>
      <c r="D172" s="4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1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1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1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1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1"/>
    </row>
    <row r="173" spans="1:75" ht="15.75" customHeight="1" x14ac:dyDescent="0.2">
      <c r="A173" s="4"/>
      <c r="B173" s="4"/>
      <c r="C173" s="4"/>
      <c r="D173" s="4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1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1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1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1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1"/>
    </row>
    <row r="174" spans="1:75" ht="15.75" customHeight="1" x14ac:dyDescent="0.2">
      <c r="A174" s="4"/>
      <c r="B174" s="4"/>
      <c r="C174" s="4"/>
      <c r="D174" s="4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1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1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1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1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1"/>
    </row>
    <row r="175" spans="1:75" ht="15.75" customHeight="1" x14ac:dyDescent="0.2">
      <c r="A175" s="4"/>
      <c r="B175" s="4"/>
      <c r="C175" s="4"/>
      <c r="D175" s="4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1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1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1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1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1"/>
    </row>
    <row r="176" spans="1:75" ht="15.75" customHeight="1" x14ac:dyDescent="0.2">
      <c r="A176" s="4"/>
      <c r="B176" s="4"/>
      <c r="C176" s="4"/>
      <c r="D176" s="4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1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1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1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1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1"/>
    </row>
    <row r="177" spans="1:75" ht="15.75" customHeight="1" x14ac:dyDescent="0.2">
      <c r="A177" s="4"/>
      <c r="B177" s="4"/>
      <c r="C177" s="4"/>
      <c r="D177" s="4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1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1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1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1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1"/>
    </row>
    <row r="178" spans="1:75" ht="15.75" customHeight="1" x14ac:dyDescent="0.2">
      <c r="A178" s="4"/>
      <c r="B178" s="4"/>
      <c r="C178" s="4"/>
      <c r="D178" s="4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1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1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1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1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1"/>
    </row>
    <row r="179" spans="1:75" ht="15.75" customHeight="1" x14ac:dyDescent="0.2">
      <c r="A179" s="4"/>
      <c r="B179" s="4"/>
      <c r="C179" s="4"/>
      <c r="D179" s="4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1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1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1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1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1"/>
    </row>
    <row r="180" spans="1:75" ht="15.75" customHeight="1" x14ac:dyDescent="0.2">
      <c r="A180" s="4"/>
      <c r="B180" s="4"/>
      <c r="C180" s="4"/>
      <c r="D180" s="4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1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1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1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1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1"/>
    </row>
    <row r="181" spans="1:75" ht="15.75" customHeight="1" x14ac:dyDescent="0.2">
      <c r="A181" s="4"/>
      <c r="B181" s="4"/>
      <c r="C181" s="4"/>
      <c r="D181" s="4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1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1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1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1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1"/>
    </row>
    <row r="182" spans="1:75" ht="15.75" customHeight="1" x14ac:dyDescent="0.2">
      <c r="A182" s="4"/>
      <c r="B182" s="4"/>
      <c r="C182" s="4"/>
      <c r="D182" s="4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1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1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1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1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1"/>
    </row>
    <row r="183" spans="1:75" ht="15.75" customHeight="1" x14ac:dyDescent="0.2">
      <c r="A183" s="4"/>
      <c r="B183" s="4"/>
      <c r="C183" s="4"/>
      <c r="D183" s="4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1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1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1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1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1"/>
    </row>
    <row r="184" spans="1:75" ht="15.75" customHeight="1" x14ac:dyDescent="0.2">
      <c r="A184" s="4"/>
      <c r="B184" s="4"/>
      <c r="C184" s="4"/>
      <c r="D184" s="4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1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1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1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1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1"/>
    </row>
    <row r="185" spans="1:75" ht="15.75" customHeight="1" x14ac:dyDescent="0.2">
      <c r="A185" s="4"/>
      <c r="B185" s="4"/>
      <c r="C185" s="4"/>
      <c r="D185" s="4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1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1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1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1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1"/>
    </row>
    <row r="186" spans="1:75" ht="15.75" customHeight="1" x14ac:dyDescent="0.2">
      <c r="A186" s="4"/>
      <c r="B186" s="4"/>
      <c r="C186" s="4"/>
      <c r="D186" s="4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1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1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1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1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1"/>
    </row>
    <row r="187" spans="1:75" ht="15.75" customHeight="1" x14ac:dyDescent="0.2">
      <c r="A187" s="4"/>
      <c r="B187" s="4"/>
      <c r="C187" s="4"/>
      <c r="D187" s="4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1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1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1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1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1"/>
    </row>
    <row r="188" spans="1:75" ht="15.75" customHeight="1" x14ac:dyDescent="0.2">
      <c r="A188" s="4"/>
      <c r="B188" s="4"/>
      <c r="C188" s="4"/>
      <c r="D188" s="4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1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1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1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1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1"/>
    </row>
    <row r="189" spans="1:75" ht="15.75" customHeight="1" x14ac:dyDescent="0.2">
      <c r="A189" s="4"/>
      <c r="B189" s="4"/>
      <c r="C189" s="4"/>
      <c r="D189" s="4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1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1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1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1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1"/>
    </row>
    <row r="190" spans="1:75" ht="15.75" customHeight="1" x14ac:dyDescent="0.2">
      <c r="A190" s="4"/>
      <c r="B190" s="4"/>
      <c r="C190" s="4"/>
      <c r="D190" s="4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1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1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1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1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1"/>
    </row>
    <row r="191" spans="1:75" ht="15.75" customHeight="1" x14ac:dyDescent="0.2">
      <c r="A191" s="4"/>
      <c r="B191" s="4"/>
      <c r="C191" s="4"/>
      <c r="D191" s="4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1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1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1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1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1"/>
    </row>
    <row r="192" spans="1:75" ht="15.75" customHeight="1" x14ac:dyDescent="0.2">
      <c r="A192" s="4"/>
      <c r="B192" s="4"/>
      <c r="C192" s="4"/>
      <c r="D192" s="4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1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1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1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1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1"/>
    </row>
    <row r="193" spans="1:75" ht="15.75" customHeight="1" x14ac:dyDescent="0.2">
      <c r="A193" s="4"/>
      <c r="B193" s="4"/>
      <c r="C193" s="4"/>
      <c r="D193" s="4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1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1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1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1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1"/>
    </row>
    <row r="194" spans="1:75" ht="15.75" customHeight="1" x14ac:dyDescent="0.2">
      <c r="A194" s="4"/>
      <c r="B194" s="4"/>
      <c r="C194" s="4"/>
      <c r="D194" s="4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1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1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1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1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1"/>
    </row>
    <row r="195" spans="1:75" ht="15.75" customHeight="1" x14ac:dyDescent="0.2">
      <c r="A195" s="4"/>
      <c r="B195" s="4"/>
      <c r="C195" s="4"/>
      <c r="D195" s="4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1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1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1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1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1"/>
    </row>
    <row r="196" spans="1:75" ht="15.75" customHeight="1" x14ac:dyDescent="0.2">
      <c r="A196" s="4"/>
      <c r="B196" s="4"/>
      <c r="C196" s="4"/>
      <c r="D196" s="4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1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1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1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1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1"/>
    </row>
    <row r="197" spans="1:75" ht="15.75" customHeight="1" x14ac:dyDescent="0.2">
      <c r="A197" s="4"/>
      <c r="B197" s="4"/>
      <c r="C197" s="4"/>
      <c r="D197" s="4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1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1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1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1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1"/>
    </row>
    <row r="198" spans="1:75" ht="15.75" customHeight="1" x14ac:dyDescent="0.2">
      <c r="A198" s="4"/>
      <c r="B198" s="4"/>
      <c r="C198" s="4"/>
      <c r="D198" s="4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1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1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1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1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1"/>
    </row>
    <row r="199" spans="1:75" ht="15.75" customHeight="1" x14ac:dyDescent="0.2">
      <c r="A199" s="4"/>
      <c r="B199" s="4"/>
      <c r="C199" s="4"/>
      <c r="D199" s="4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1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1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1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1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1"/>
    </row>
    <row r="200" spans="1:75" ht="15.75" customHeight="1" x14ac:dyDescent="0.2">
      <c r="A200" s="4"/>
      <c r="B200" s="4"/>
      <c r="C200" s="4"/>
      <c r="D200" s="4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1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1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1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1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1"/>
    </row>
    <row r="201" spans="1:75" ht="15.75" customHeight="1" x14ac:dyDescent="0.2">
      <c r="A201" s="4"/>
      <c r="B201" s="4"/>
      <c r="C201" s="4"/>
      <c r="D201" s="4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1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1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1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1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1"/>
    </row>
    <row r="202" spans="1:75" ht="15.75" customHeight="1" x14ac:dyDescent="0.2">
      <c r="A202" s="4"/>
      <c r="B202" s="4"/>
      <c r="C202" s="4"/>
      <c r="D202" s="4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1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1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1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1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1"/>
    </row>
    <row r="203" spans="1:75" ht="15.75" customHeight="1" x14ac:dyDescent="0.2">
      <c r="A203" s="4"/>
      <c r="B203" s="4"/>
      <c r="C203" s="4"/>
      <c r="D203" s="4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1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1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1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1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1"/>
    </row>
    <row r="204" spans="1:75" ht="15.75" customHeight="1" x14ac:dyDescent="0.2">
      <c r="A204" s="4"/>
      <c r="B204" s="4"/>
      <c r="C204" s="4"/>
      <c r="D204" s="4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1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1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1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1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1"/>
    </row>
    <row r="205" spans="1:75" ht="15.75" customHeight="1" x14ac:dyDescent="0.2">
      <c r="A205" s="4"/>
      <c r="B205" s="4"/>
      <c r="C205" s="4"/>
      <c r="D205" s="4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1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1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1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1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1"/>
    </row>
    <row r="206" spans="1:75" ht="15.75" customHeight="1" x14ac:dyDescent="0.2">
      <c r="A206" s="4"/>
      <c r="B206" s="4"/>
      <c r="C206" s="4"/>
      <c r="D206" s="4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1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1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1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1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1"/>
    </row>
    <row r="207" spans="1:75" ht="15.75" customHeight="1" x14ac:dyDescent="0.2">
      <c r="A207" s="4"/>
      <c r="B207" s="4"/>
      <c r="C207" s="4"/>
      <c r="D207" s="4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1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1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1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1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1"/>
    </row>
    <row r="208" spans="1:75" ht="15.75" customHeight="1" x14ac:dyDescent="0.2">
      <c r="A208" s="4"/>
      <c r="B208" s="4"/>
      <c r="C208" s="4"/>
      <c r="D208" s="4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1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1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1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1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1"/>
    </row>
    <row r="209" spans="1:75" ht="15.75" customHeight="1" x14ac:dyDescent="0.2">
      <c r="A209" s="4"/>
      <c r="B209" s="4"/>
      <c r="C209" s="4"/>
      <c r="D209" s="4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1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1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1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1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1"/>
    </row>
    <row r="210" spans="1:75" ht="15.75" customHeight="1" x14ac:dyDescent="0.2">
      <c r="A210" s="4"/>
      <c r="B210" s="4"/>
      <c r="C210" s="4"/>
      <c r="D210" s="4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1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1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1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1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1"/>
    </row>
    <row r="211" spans="1:75" ht="15.75" customHeight="1" x14ac:dyDescent="0.2">
      <c r="A211" s="4"/>
      <c r="B211" s="4"/>
      <c r="C211" s="4"/>
      <c r="D211" s="4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1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1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1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1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1"/>
    </row>
    <row r="212" spans="1:75" ht="15.75" customHeight="1" x14ac:dyDescent="0.2">
      <c r="A212" s="4"/>
      <c r="B212" s="4"/>
      <c r="C212" s="4"/>
      <c r="D212" s="4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1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1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1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1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1"/>
    </row>
    <row r="213" spans="1:75" ht="15.75" customHeight="1" x14ac:dyDescent="0.2">
      <c r="A213" s="4"/>
      <c r="B213" s="4"/>
      <c r="C213" s="4"/>
      <c r="D213" s="4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1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1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1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1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1"/>
    </row>
    <row r="214" spans="1:75" ht="15.75" customHeight="1" x14ac:dyDescent="0.2">
      <c r="A214" s="4"/>
      <c r="B214" s="4"/>
      <c r="C214" s="4"/>
      <c r="D214" s="4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1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1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1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1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1"/>
    </row>
    <row r="215" spans="1:75" ht="15.75" customHeight="1" x14ac:dyDescent="0.2">
      <c r="A215" s="4"/>
      <c r="B215" s="4"/>
      <c r="C215" s="4"/>
      <c r="D215" s="4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1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1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1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1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1"/>
    </row>
    <row r="216" spans="1:75" ht="15.75" customHeight="1" x14ac:dyDescent="0.2">
      <c r="A216" s="4"/>
      <c r="B216" s="4"/>
      <c r="C216" s="4"/>
      <c r="D216" s="4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1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1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1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1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1"/>
    </row>
    <row r="217" spans="1:75" ht="15.75" customHeight="1" x14ac:dyDescent="0.2">
      <c r="A217" s="4"/>
      <c r="B217" s="4"/>
      <c r="C217" s="4"/>
      <c r="D217" s="4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1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1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1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1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1"/>
    </row>
    <row r="218" spans="1:75" ht="15.75" customHeight="1" x14ac:dyDescent="0.2">
      <c r="A218" s="4"/>
      <c r="B218" s="4"/>
      <c r="C218" s="4"/>
      <c r="D218" s="4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1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1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1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1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1"/>
    </row>
    <row r="219" spans="1:75" ht="15.75" customHeight="1" x14ac:dyDescent="0.2">
      <c r="A219" s="4"/>
      <c r="B219" s="4"/>
      <c r="C219" s="4"/>
      <c r="D219" s="4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1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1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1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1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1"/>
    </row>
    <row r="220" spans="1:75" ht="15.75" customHeight="1" x14ac:dyDescent="0.2">
      <c r="A220" s="4"/>
      <c r="B220" s="4"/>
      <c r="C220" s="4"/>
      <c r="D220" s="4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1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1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1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1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1"/>
    </row>
    <row r="221" spans="1:75" ht="15.75" customHeight="1" x14ac:dyDescent="0.2">
      <c r="A221" s="4"/>
      <c r="B221" s="4"/>
      <c r="C221" s="4"/>
      <c r="D221" s="4"/>
      <c r="E221" s="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1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1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1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1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1"/>
    </row>
    <row r="222" spans="1:75" ht="15.75" customHeight="1" x14ac:dyDescent="0.2">
      <c r="A222" s="4"/>
      <c r="B222" s="4"/>
      <c r="C222" s="4"/>
      <c r="D222" s="4"/>
      <c r="E222" s="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1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1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1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1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1"/>
    </row>
    <row r="223" spans="1:75" ht="15.75" customHeight="1" x14ac:dyDescent="0.2">
      <c r="A223" s="4"/>
      <c r="B223" s="4"/>
      <c r="C223" s="4"/>
      <c r="D223" s="4"/>
      <c r="E223" s="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1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1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1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1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1"/>
    </row>
    <row r="224" spans="1:75" ht="15.75" customHeight="1" x14ac:dyDescent="0.2">
      <c r="A224" s="4"/>
      <c r="B224" s="4"/>
      <c r="C224" s="4"/>
      <c r="D224" s="4"/>
      <c r="E224" s="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1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1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1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1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1"/>
    </row>
    <row r="225" spans="1:75" ht="15.75" customHeight="1" x14ac:dyDescent="0.2">
      <c r="A225" s="4"/>
      <c r="B225" s="4"/>
      <c r="C225" s="4"/>
      <c r="D225" s="4"/>
      <c r="E225" s="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1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1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1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1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1"/>
    </row>
    <row r="226" spans="1:75" ht="15.75" customHeight="1" x14ac:dyDescent="0.2">
      <c r="A226" s="4"/>
      <c r="B226" s="4"/>
      <c r="C226" s="4"/>
      <c r="D226" s="4"/>
      <c r="E226" s="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1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1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1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1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1"/>
    </row>
    <row r="227" spans="1:75" ht="15.75" customHeight="1" x14ac:dyDescent="0.2">
      <c r="A227" s="4"/>
      <c r="B227" s="4"/>
      <c r="C227" s="4"/>
      <c r="D227" s="4"/>
      <c r="E227" s="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1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1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1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1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1"/>
    </row>
    <row r="228" spans="1:75" ht="15.75" customHeight="1" x14ac:dyDescent="0.2">
      <c r="A228" s="4"/>
      <c r="B228" s="4"/>
      <c r="C228" s="4"/>
      <c r="D228" s="4"/>
      <c r="E228" s="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1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1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1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1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1"/>
    </row>
    <row r="229" spans="1:75" ht="15.75" customHeight="1" x14ac:dyDescent="0.2">
      <c r="A229" s="4"/>
      <c r="B229" s="4"/>
      <c r="C229" s="4"/>
      <c r="D229" s="4"/>
      <c r="E229" s="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1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1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1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1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1"/>
    </row>
    <row r="230" spans="1:75" ht="15.75" customHeight="1" x14ac:dyDescent="0.2">
      <c r="A230" s="4"/>
      <c r="B230" s="4"/>
      <c r="C230" s="4"/>
      <c r="D230" s="4"/>
      <c r="E230" s="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1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1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1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1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1"/>
    </row>
    <row r="231" spans="1:75" ht="15.75" customHeight="1" x14ac:dyDescent="0.2">
      <c r="A231" s="4"/>
      <c r="B231" s="4"/>
      <c r="C231" s="4"/>
      <c r="D231" s="4"/>
      <c r="E231" s="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1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1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1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1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1"/>
    </row>
    <row r="232" spans="1:75" ht="15.75" customHeight="1" x14ac:dyDescent="0.2">
      <c r="A232" s="4"/>
      <c r="B232" s="4"/>
      <c r="C232" s="4"/>
      <c r="D232" s="4"/>
      <c r="E232" s="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1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1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1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1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1"/>
    </row>
    <row r="233" spans="1:75" ht="15.75" customHeight="1" x14ac:dyDescent="0.2">
      <c r="A233" s="4"/>
      <c r="B233" s="4"/>
      <c r="C233" s="4"/>
      <c r="D233" s="4"/>
      <c r="E233" s="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1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1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1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1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1"/>
    </row>
    <row r="234" spans="1:75" ht="15.75" customHeight="1" x14ac:dyDescent="0.2">
      <c r="A234" s="4"/>
      <c r="B234" s="4"/>
      <c r="C234" s="4"/>
      <c r="D234" s="4"/>
      <c r="E234" s="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1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1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1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1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1"/>
    </row>
    <row r="235" spans="1:75" ht="15.75" customHeight="1" x14ac:dyDescent="0.2">
      <c r="A235" s="4"/>
      <c r="B235" s="4"/>
      <c r="C235" s="4"/>
      <c r="D235" s="4"/>
      <c r="E235" s="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1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1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1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1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1"/>
    </row>
    <row r="236" spans="1:75" ht="15.75" customHeight="1" x14ac:dyDescent="0.2">
      <c r="A236" s="4"/>
      <c r="B236" s="4"/>
      <c r="C236" s="4"/>
      <c r="D236" s="4"/>
      <c r="E236" s="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1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1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1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1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1"/>
    </row>
    <row r="237" spans="1:75" ht="15.75" customHeight="1" x14ac:dyDescent="0.2">
      <c r="A237" s="4"/>
      <c r="B237" s="4"/>
      <c r="C237" s="4"/>
      <c r="D237" s="4"/>
      <c r="E237" s="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1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1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1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1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1"/>
    </row>
    <row r="238" spans="1:75" ht="15.75" customHeight="1" x14ac:dyDescent="0.2">
      <c r="A238" s="4"/>
      <c r="B238" s="4"/>
      <c r="C238" s="4"/>
      <c r="D238" s="4"/>
      <c r="E238" s="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1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1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1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1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1"/>
    </row>
    <row r="239" spans="1:75" ht="15.75" customHeight="1" x14ac:dyDescent="0.2">
      <c r="A239" s="4"/>
      <c r="B239" s="4"/>
      <c r="C239" s="4"/>
      <c r="D239" s="4"/>
      <c r="E239" s="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1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1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1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1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1"/>
    </row>
    <row r="240" spans="1:75" ht="15.75" customHeight="1" x14ac:dyDescent="0.2">
      <c r="A240" s="4"/>
      <c r="B240" s="4"/>
      <c r="C240" s="4"/>
      <c r="D240" s="4"/>
      <c r="E240" s="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1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1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1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1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1"/>
    </row>
    <row r="241" spans="1:75" ht="15.75" customHeight="1" x14ac:dyDescent="0.2">
      <c r="A241" s="4"/>
      <c r="B241" s="4"/>
      <c r="C241" s="4"/>
      <c r="D241" s="4"/>
      <c r="E241" s="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1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1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1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1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1"/>
    </row>
    <row r="242" spans="1:75" ht="15.75" customHeight="1" x14ac:dyDescent="0.2">
      <c r="A242" s="4"/>
      <c r="B242" s="4"/>
      <c r="C242" s="4"/>
      <c r="D242" s="4"/>
      <c r="E242" s="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1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1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1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1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1"/>
    </row>
    <row r="243" spans="1:75" ht="15.75" customHeight="1" x14ac:dyDescent="0.2">
      <c r="A243" s="4"/>
      <c r="B243" s="4"/>
      <c r="C243" s="4"/>
      <c r="D243" s="4"/>
      <c r="E243" s="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1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1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1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1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1"/>
    </row>
    <row r="244" spans="1:75" ht="15.75" customHeight="1" x14ac:dyDescent="0.2">
      <c r="A244" s="4"/>
      <c r="B244" s="4"/>
      <c r="C244" s="4"/>
      <c r="D244" s="4"/>
      <c r="E244" s="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1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1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1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1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1"/>
    </row>
    <row r="245" spans="1:75" ht="15.75" customHeight="1" x14ac:dyDescent="0.2">
      <c r="A245" s="4"/>
      <c r="B245" s="4"/>
      <c r="C245" s="4"/>
      <c r="D245" s="4"/>
      <c r="E245" s="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1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1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1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1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1"/>
    </row>
    <row r="246" spans="1:75" ht="15.75" customHeight="1" x14ac:dyDescent="0.2">
      <c r="A246" s="4"/>
      <c r="B246" s="4"/>
      <c r="C246" s="4"/>
      <c r="D246" s="4"/>
      <c r="E246" s="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1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1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1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1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1"/>
    </row>
    <row r="247" spans="1:75" ht="15.75" customHeight="1" x14ac:dyDescent="0.2">
      <c r="A247" s="4"/>
      <c r="B247" s="4"/>
      <c r="C247" s="4"/>
      <c r="D247" s="4"/>
      <c r="E247" s="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1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1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1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1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1"/>
    </row>
    <row r="248" spans="1:75" ht="15.75" customHeight="1" x14ac:dyDescent="0.2">
      <c r="A248" s="4"/>
      <c r="B248" s="4"/>
      <c r="C248" s="4"/>
      <c r="D248" s="4"/>
      <c r="E248" s="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1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1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1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1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1"/>
    </row>
    <row r="249" spans="1:75" ht="15.75" customHeight="1" x14ac:dyDescent="0.2">
      <c r="A249" s="4"/>
      <c r="B249" s="4"/>
      <c r="C249" s="4"/>
      <c r="D249" s="4"/>
      <c r="E249" s="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1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1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1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1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1"/>
    </row>
    <row r="250" spans="1:75" ht="15.75" customHeight="1" x14ac:dyDescent="0.2">
      <c r="A250" s="4"/>
      <c r="B250" s="4"/>
      <c r="C250" s="4"/>
      <c r="D250" s="4"/>
      <c r="E250" s="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1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1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1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1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1"/>
    </row>
    <row r="251" spans="1:75" ht="15.75" customHeight="1" x14ac:dyDescent="0.2">
      <c r="A251" s="4"/>
      <c r="B251" s="4"/>
      <c r="C251" s="4"/>
      <c r="D251" s="4"/>
      <c r="E251" s="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1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1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1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1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1"/>
    </row>
    <row r="252" spans="1:75" ht="15.75" customHeight="1" x14ac:dyDescent="0.2">
      <c r="A252" s="4"/>
      <c r="B252" s="4"/>
      <c r="C252" s="4"/>
      <c r="D252" s="4"/>
      <c r="E252" s="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1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1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1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1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1"/>
    </row>
    <row r="253" spans="1:75" ht="15.75" customHeight="1" x14ac:dyDescent="0.2">
      <c r="A253" s="4"/>
      <c r="B253" s="4"/>
      <c r="C253" s="4"/>
      <c r="D253" s="4"/>
      <c r="E253" s="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1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1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1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1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1"/>
    </row>
    <row r="254" spans="1:75" ht="15.75" customHeight="1" x14ac:dyDescent="0.2">
      <c r="A254" s="4"/>
      <c r="B254" s="4"/>
      <c r="C254" s="4"/>
      <c r="D254" s="4"/>
      <c r="E254" s="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1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1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1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1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1"/>
    </row>
    <row r="255" spans="1:75" ht="15.75" customHeight="1" x14ac:dyDescent="0.2">
      <c r="A255" s="4"/>
      <c r="B255" s="4"/>
      <c r="C255" s="4"/>
      <c r="D255" s="4"/>
      <c r="E255" s="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1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1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1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1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1"/>
    </row>
    <row r="256" spans="1:75" ht="15.75" customHeight="1" x14ac:dyDescent="0.2">
      <c r="A256" s="4"/>
      <c r="B256" s="4"/>
      <c r="C256" s="4"/>
      <c r="D256" s="4"/>
      <c r="E256" s="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1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1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1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1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1"/>
    </row>
    <row r="257" spans="1:75" ht="15.75" customHeight="1" x14ac:dyDescent="0.2">
      <c r="A257" s="4"/>
      <c r="B257" s="4"/>
      <c r="C257" s="4"/>
      <c r="D257" s="4"/>
      <c r="E257" s="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1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1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1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1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1"/>
    </row>
    <row r="258" spans="1:75" ht="15.75" customHeight="1" x14ac:dyDescent="0.2">
      <c r="A258" s="4"/>
      <c r="B258" s="4"/>
      <c r="C258" s="4"/>
      <c r="D258" s="4"/>
      <c r="E258" s="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1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1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1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1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1"/>
    </row>
    <row r="259" spans="1:75" ht="15.75" customHeight="1" x14ac:dyDescent="0.2">
      <c r="A259" s="4"/>
      <c r="B259" s="4"/>
      <c r="C259" s="4"/>
      <c r="D259" s="4"/>
      <c r="E259" s="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1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1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1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1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1"/>
    </row>
    <row r="260" spans="1:75" ht="15.75" customHeight="1" x14ac:dyDescent="0.2">
      <c r="A260" s="4"/>
      <c r="B260" s="4"/>
      <c r="C260" s="4"/>
      <c r="D260" s="4"/>
      <c r="E260" s="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1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1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1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1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1"/>
    </row>
    <row r="261" spans="1:75" ht="15.75" customHeight="1" x14ac:dyDescent="0.2">
      <c r="A261" s="4"/>
      <c r="B261" s="4"/>
      <c r="C261" s="4"/>
      <c r="D261" s="4"/>
      <c r="E261" s="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1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1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1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1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1"/>
    </row>
    <row r="262" spans="1:75" ht="15.75" customHeight="1" x14ac:dyDescent="0.2">
      <c r="A262" s="4"/>
      <c r="B262" s="4"/>
      <c r="C262" s="4"/>
      <c r="D262" s="4"/>
      <c r="E262" s="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1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1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1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1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1"/>
    </row>
    <row r="263" spans="1:75" ht="15.75" customHeight="1" x14ac:dyDescent="0.2">
      <c r="A263" s="4"/>
      <c r="B263" s="4"/>
      <c r="C263" s="4"/>
      <c r="D263" s="4"/>
      <c r="E263" s="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1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1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1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1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1"/>
    </row>
    <row r="264" spans="1:75" ht="15.75" customHeight="1" x14ac:dyDescent="0.2">
      <c r="A264" s="4"/>
      <c r="B264" s="4"/>
      <c r="C264" s="4"/>
      <c r="D264" s="4"/>
      <c r="E264" s="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1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1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1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1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1"/>
    </row>
    <row r="265" spans="1:75" ht="15.75" customHeight="1" x14ac:dyDescent="0.2">
      <c r="A265" s="4"/>
      <c r="B265" s="4"/>
      <c r="C265" s="4"/>
      <c r="D265" s="4"/>
      <c r="E265" s="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1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1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1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1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1"/>
    </row>
    <row r="266" spans="1:75" ht="15.75" customHeight="1" x14ac:dyDescent="0.2">
      <c r="A266" s="4"/>
      <c r="B266" s="4"/>
      <c r="C266" s="4"/>
      <c r="D266" s="4"/>
      <c r="E266" s="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1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1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1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1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1"/>
    </row>
    <row r="267" spans="1:75" ht="15.75" customHeight="1" x14ac:dyDescent="0.2">
      <c r="A267" s="4"/>
      <c r="B267" s="4"/>
      <c r="C267" s="4"/>
      <c r="D267" s="4"/>
      <c r="E267" s="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1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1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1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1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1"/>
    </row>
    <row r="268" spans="1:75" ht="15.75" customHeight="1" x14ac:dyDescent="0.2">
      <c r="A268" s="4"/>
      <c r="B268" s="4"/>
      <c r="C268" s="4"/>
      <c r="D268" s="4"/>
      <c r="E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1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1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1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1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1"/>
    </row>
    <row r="269" spans="1:75" ht="15.75" customHeight="1" x14ac:dyDescent="0.2">
      <c r="A269" s="4"/>
      <c r="B269" s="4"/>
      <c r="C269" s="4"/>
      <c r="D269" s="4"/>
      <c r="E269" s="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1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1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1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1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1"/>
    </row>
    <row r="270" spans="1:75" ht="15.75" customHeight="1" x14ac:dyDescent="0.2">
      <c r="A270" s="4"/>
      <c r="B270" s="4"/>
      <c r="C270" s="4"/>
      <c r="D270" s="4"/>
      <c r="E270" s="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1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1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1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1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1"/>
    </row>
    <row r="271" spans="1:75" ht="15.75" customHeight="1" x14ac:dyDescent="0.2">
      <c r="A271" s="4"/>
      <c r="B271" s="4"/>
      <c r="C271" s="4"/>
      <c r="D271" s="4"/>
      <c r="E271" s="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1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1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1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1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1"/>
    </row>
    <row r="272" spans="1:75" ht="15.75" customHeight="1" x14ac:dyDescent="0.2">
      <c r="A272" s="4"/>
      <c r="B272" s="4"/>
      <c r="C272" s="4"/>
      <c r="D272" s="4"/>
      <c r="E272" s="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1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1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1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1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1"/>
    </row>
    <row r="273" spans="1:75" ht="15.75" customHeight="1" x14ac:dyDescent="0.2">
      <c r="A273" s="4"/>
      <c r="B273" s="4"/>
      <c r="C273" s="4"/>
      <c r="D273" s="4"/>
      <c r="E273" s="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1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1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1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1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1"/>
    </row>
    <row r="274" spans="1:75" ht="15.75" customHeight="1" x14ac:dyDescent="0.2">
      <c r="A274" s="4"/>
      <c r="B274" s="4"/>
      <c r="C274" s="4"/>
      <c r="D274" s="4"/>
      <c r="E274" s="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1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1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1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1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1"/>
    </row>
    <row r="275" spans="1:75" ht="15.75" customHeight="1" x14ac:dyDescent="0.2">
      <c r="A275" s="4"/>
      <c r="B275" s="4"/>
      <c r="C275" s="4"/>
      <c r="D275" s="4"/>
      <c r="E275" s="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1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1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1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1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1"/>
    </row>
    <row r="276" spans="1:75" ht="15.75" customHeight="1" x14ac:dyDescent="0.2">
      <c r="A276" s="4"/>
      <c r="B276" s="4"/>
      <c r="C276" s="4"/>
      <c r="D276" s="4"/>
      <c r="E276" s="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1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1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1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1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1"/>
    </row>
    <row r="277" spans="1:75" ht="15.75" customHeight="1" x14ac:dyDescent="0.2">
      <c r="A277" s="4"/>
      <c r="B277" s="4"/>
      <c r="C277" s="4"/>
      <c r="D277" s="4"/>
      <c r="E277" s="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1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1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1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1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1"/>
    </row>
    <row r="278" spans="1:75" ht="15.75" customHeight="1" x14ac:dyDescent="0.2">
      <c r="A278" s="4"/>
      <c r="B278" s="4"/>
      <c r="C278" s="4"/>
      <c r="D278" s="4"/>
      <c r="E278" s="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1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1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1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1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1"/>
    </row>
    <row r="279" spans="1:75" ht="15.75" customHeight="1" x14ac:dyDescent="0.2">
      <c r="A279" s="4"/>
      <c r="B279" s="4"/>
      <c r="C279" s="4"/>
      <c r="D279" s="4"/>
      <c r="E279" s="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1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1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1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1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1"/>
    </row>
    <row r="280" spans="1:75" ht="15.75" customHeight="1" x14ac:dyDescent="0.2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1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1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1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1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1"/>
    </row>
    <row r="281" spans="1:75" ht="15.75" customHeight="1" x14ac:dyDescent="0.2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1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1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1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1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1"/>
    </row>
    <row r="282" spans="1:75" ht="15.75" customHeight="1" x14ac:dyDescent="0.2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1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1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1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1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1"/>
    </row>
    <row r="283" spans="1:75" ht="15.75" customHeight="1" x14ac:dyDescent="0.2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1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1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1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1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1"/>
    </row>
    <row r="284" spans="1:75" ht="15.75" customHeight="1" x14ac:dyDescent="0.2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1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1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1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1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1"/>
    </row>
    <row r="285" spans="1:75" ht="15.75" customHeight="1" x14ac:dyDescent="0.2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1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1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1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1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1"/>
    </row>
    <row r="286" spans="1:75" ht="15.75" customHeight="1" x14ac:dyDescent="0.2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1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1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1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1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1"/>
    </row>
    <row r="287" spans="1:75" ht="15.75" customHeight="1" x14ac:dyDescent="0.2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1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1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1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1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1"/>
    </row>
    <row r="288" spans="1:75" ht="15.75" customHeight="1" x14ac:dyDescent="0.2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1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1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1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1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1"/>
    </row>
    <row r="289" spans="1:75" ht="15.75" customHeight="1" x14ac:dyDescent="0.2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1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1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1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1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1"/>
    </row>
    <row r="290" spans="1:75" ht="15.75" customHeight="1" x14ac:dyDescent="0.2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1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1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1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1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1"/>
    </row>
    <row r="291" spans="1:75" ht="15.75" customHeight="1" x14ac:dyDescent="0.2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1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1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1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1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1"/>
    </row>
    <row r="292" spans="1:75" ht="15.75" customHeight="1" x14ac:dyDescent="0.2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1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1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1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1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1"/>
    </row>
    <row r="293" spans="1:75" ht="15.75" customHeight="1" x14ac:dyDescent="0.2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1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1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1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1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1"/>
    </row>
    <row r="294" spans="1:75" ht="15.75" customHeight="1" x14ac:dyDescent="0.2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1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1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1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1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1"/>
    </row>
    <row r="295" spans="1:75" ht="15.75" customHeight="1" x14ac:dyDescent="0.2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1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1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1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1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1"/>
    </row>
    <row r="296" spans="1:75" ht="15.75" customHeight="1" x14ac:dyDescent="0.2">
      <c r="A296" s="4"/>
      <c r="B296" s="4"/>
      <c r="C296" s="4"/>
      <c r="D296" s="4"/>
      <c r="E296" s="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1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1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1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1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1"/>
    </row>
    <row r="297" spans="1:75" ht="15.75" customHeight="1" x14ac:dyDescent="0.2">
      <c r="A297" s="4"/>
      <c r="B297" s="4"/>
      <c r="C297" s="4"/>
      <c r="D297" s="4"/>
      <c r="E297" s="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1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1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1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1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1"/>
    </row>
    <row r="298" spans="1:75" ht="15.75" customHeight="1" x14ac:dyDescent="0.2">
      <c r="A298" s="4"/>
      <c r="B298" s="4"/>
      <c r="C298" s="4"/>
      <c r="D298" s="4"/>
      <c r="E298" s="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1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1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1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1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1"/>
    </row>
    <row r="299" spans="1:75" ht="15.75" customHeight="1" x14ac:dyDescent="0.2">
      <c r="A299" s="4"/>
      <c r="B299" s="4"/>
      <c r="C299" s="4"/>
      <c r="D299" s="4"/>
      <c r="E299" s="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1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1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1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1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1"/>
    </row>
    <row r="300" spans="1:75" ht="15.75" customHeight="1" x14ac:dyDescent="0.2">
      <c r="A300" s="4"/>
      <c r="B300" s="4"/>
      <c r="C300" s="4"/>
      <c r="D300" s="4"/>
      <c r="E300" s="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1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1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1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1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1"/>
    </row>
    <row r="301" spans="1:75" ht="15.75" customHeight="1" x14ac:dyDescent="0.2">
      <c r="A301" s="4"/>
      <c r="B301" s="4"/>
      <c r="C301" s="4"/>
      <c r="D301" s="4"/>
      <c r="E301" s="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1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1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1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1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1"/>
    </row>
    <row r="302" spans="1:75" ht="15.75" customHeight="1" x14ac:dyDescent="0.2">
      <c r="A302" s="4"/>
      <c r="B302" s="4"/>
      <c r="C302" s="4"/>
      <c r="D302" s="4"/>
      <c r="E302" s="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1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1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1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1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1"/>
    </row>
    <row r="303" spans="1:75" ht="15.75" customHeight="1" x14ac:dyDescent="0.2">
      <c r="A303" s="4"/>
      <c r="B303" s="4"/>
      <c r="C303" s="4"/>
      <c r="D303" s="4"/>
      <c r="E303" s="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1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1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1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1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1"/>
    </row>
    <row r="304" spans="1:75" ht="15.75" customHeight="1" x14ac:dyDescent="0.2">
      <c r="A304" s="4"/>
      <c r="B304" s="4"/>
      <c r="C304" s="4"/>
      <c r="D304" s="4"/>
      <c r="E304" s="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1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1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1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1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1"/>
    </row>
    <row r="305" spans="1:75" ht="15.75" customHeight="1" x14ac:dyDescent="0.2">
      <c r="A305" s="4"/>
      <c r="B305" s="4"/>
      <c r="C305" s="4"/>
      <c r="D305" s="4"/>
      <c r="E305" s="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1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1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1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1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1"/>
    </row>
    <row r="306" spans="1:75" ht="15.75" customHeight="1" x14ac:dyDescent="0.2">
      <c r="A306" s="4"/>
      <c r="B306" s="4"/>
      <c r="C306" s="4"/>
      <c r="D306" s="4"/>
      <c r="E306" s="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1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1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1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1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1"/>
    </row>
    <row r="307" spans="1:75" ht="15.75" customHeight="1" x14ac:dyDescent="0.2">
      <c r="A307" s="4"/>
      <c r="B307" s="4"/>
      <c r="C307" s="4"/>
      <c r="D307" s="4"/>
      <c r="E307" s="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1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1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1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1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1"/>
    </row>
    <row r="308" spans="1:75" ht="15.75" customHeight="1" x14ac:dyDescent="0.2">
      <c r="A308" s="4"/>
      <c r="B308" s="4"/>
      <c r="C308" s="4"/>
      <c r="D308" s="4"/>
      <c r="E308" s="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1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1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1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1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1"/>
    </row>
    <row r="309" spans="1:75" ht="15.75" customHeight="1" x14ac:dyDescent="0.2">
      <c r="A309" s="4"/>
      <c r="B309" s="4"/>
      <c r="C309" s="4"/>
      <c r="D309" s="4"/>
      <c r="E309" s="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1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1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1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1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1"/>
    </row>
    <row r="310" spans="1:75" ht="15.75" customHeight="1" x14ac:dyDescent="0.2">
      <c r="A310" s="4"/>
      <c r="B310" s="4"/>
      <c r="C310" s="4"/>
      <c r="D310" s="4"/>
      <c r="E310" s="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1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1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1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1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1"/>
    </row>
    <row r="311" spans="1:75" ht="15.75" customHeight="1" x14ac:dyDescent="0.2">
      <c r="A311" s="4"/>
      <c r="B311" s="4"/>
      <c r="C311" s="4"/>
      <c r="D311" s="4"/>
      <c r="E311" s="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1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1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1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1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1"/>
    </row>
    <row r="312" spans="1:75" ht="15.75" customHeight="1" x14ac:dyDescent="0.2">
      <c r="A312" s="4"/>
      <c r="B312" s="4"/>
      <c r="C312" s="4"/>
      <c r="D312" s="4"/>
      <c r="E312" s="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1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1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1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1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1"/>
    </row>
    <row r="313" spans="1:75" ht="15.75" customHeight="1" x14ac:dyDescent="0.2">
      <c r="A313" s="4"/>
      <c r="B313" s="4"/>
      <c r="C313" s="4"/>
      <c r="D313" s="4"/>
      <c r="E313" s="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1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1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1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1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1"/>
    </row>
    <row r="314" spans="1:75" ht="15.75" customHeight="1" x14ac:dyDescent="0.2">
      <c r="A314" s="4"/>
      <c r="B314" s="4"/>
      <c r="C314" s="4"/>
      <c r="D314" s="4"/>
      <c r="E314" s="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1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1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1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1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1"/>
    </row>
    <row r="315" spans="1:75" ht="15.75" customHeight="1" x14ac:dyDescent="0.2">
      <c r="A315" s="4"/>
      <c r="B315" s="4"/>
      <c r="C315" s="4"/>
      <c r="D315" s="4"/>
      <c r="E315" s="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1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1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1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1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1"/>
    </row>
    <row r="316" spans="1:75" ht="15.75" customHeight="1" x14ac:dyDescent="0.2">
      <c r="A316" s="4"/>
      <c r="B316" s="4"/>
      <c r="C316" s="4"/>
      <c r="D316" s="4"/>
      <c r="E316" s="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1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1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1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1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1"/>
    </row>
    <row r="317" spans="1:75" ht="15.75" customHeight="1" x14ac:dyDescent="0.2">
      <c r="A317" s="4"/>
      <c r="B317" s="4"/>
      <c r="C317" s="4"/>
      <c r="D317" s="4"/>
      <c r="E317" s="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1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1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1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1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1"/>
    </row>
    <row r="318" spans="1:75" ht="15.75" customHeight="1" x14ac:dyDescent="0.2">
      <c r="A318" s="4"/>
      <c r="B318" s="4"/>
      <c r="C318" s="4"/>
      <c r="D318" s="4"/>
      <c r="E318" s="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1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1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1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1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1"/>
    </row>
    <row r="319" spans="1:75" ht="15.75" customHeight="1" x14ac:dyDescent="0.2">
      <c r="A319" s="4"/>
      <c r="B319" s="4"/>
      <c r="C319" s="4"/>
      <c r="D319" s="4"/>
      <c r="E319" s="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1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1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1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1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1"/>
    </row>
    <row r="320" spans="1:75" ht="15.75" customHeight="1" x14ac:dyDescent="0.2">
      <c r="A320" s="4"/>
      <c r="B320" s="4"/>
      <c r="C320" s="4"/>
      <c r="D320" s="4"/>
      <c r="E320" s="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1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1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1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1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1"/>
    </row>
    <row r="321" spans="1:75" ht="15.75" customHeight="1" x14ac:dyDescent="0.2">
      <c r="A321" s="4"/>
      <c r="B321" s="4"/>
      <c r="C321" s="4"/>
      <c r="D321" s="4"/>
      <c r="E321" s="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1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1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1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1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1"/>
    </row>
    <row r="322" spans="1:75" ht="15.75" customHeight="1" x14ac:dyDescent="0.2">
      <c r="A322" s="4"/>
      <c r="B322" s="4"/>
      <c r="C322" s="4"/>
      <c r="D322" s="4"/>
      <c r="E322" s="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1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1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1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1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1"/>
    </row>
    <row r="323" spans="1:75" ht="15.75" customHeight="1" x14ac:dyDescent="0.2">
      <c r="A323" s="4"/>
      <c r="B323" s="4"/>
      <c r="C323" s="4"/>
      <c r="D323" s="4"/>
      <c r="E323" s="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1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1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1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1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1"/>
    </row>
    <row r="324" spans="1:75" ht="15.75" customHeight="1" x14ac:dyDescent="0.2">
      <c r="A324" s="4"/>
      <c r="B324" s="4"/>
      <c r="C324" s="4"/>
      <c r="D324" s="4"/>
      <c r="E324" s="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1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1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1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1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1"/>
    </row>
    <row r="325" spans="1:75" ht="15.75" customHeight="1" x14ac:dyDescent="0.2">
      <c r="A325" s="4"/>
      <c r="B325" s="4"/>
      <c r="C325" s="4"/>
      <c r="D325" s="4"/>
      <c r="E325" s="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1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1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1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1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1"/>
    </row>
    <row r="326" spans="1:75" ht="15.75" customHeight="1" x14ac:dyDescent="0.2">
      <c r="A326" s="4"/>
      <c r="B326" s="4"/>
      <c r="C326" s="4"/>
      <c r="D326" s="4"/>
      <c r="E326" s="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1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1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1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1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1"/>
    </row>
    <row r="327" spans="1:75" ht="15.75" customHeight="1" x14ac:dyDescent="0.2">
      <c r="A327" s="4"/>
      <c r="B327" s="4"/>
      <c r="C327" s="4"/>
      <c r="D327" s="4"/>
      <c r="E327" s="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1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1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1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1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1"/>
    </row>
    <row r="328" spans="1:75" ht="15.75" customHeight="1" x14ac:dyDescent="0.2">
      <c r="A328" s="4"/>
      <c r="B328" s="4"/>
      <c r="C328" s="4"/>
      <c r="D328" s="4"/>
      <c r="E328" s="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1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1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1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1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1"/>
    </row>
    <row r="329" spans="1:75" ht="15.75" customHeight="1" x14ac:dyDescent="0.2">
      <c r="A329" s="4"/>
      <c r="B329" s="4"/>
      <c r="C329" s="4"/>
      <c r="D329" s="4"/>
      <c r="E329" s="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1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1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1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1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1"/>
    </row>
    <row r="330" spans="1:75" ht="15.75" customHeight="1" x14ac:dyDescent="0.2">
      <c r="A330" s="4"/>
      <c r="B330" s="4"/>
      <c r="C330" s="4"/>
      <c r="D330" s="4"/>
      <c r="E330" s="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1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1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1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1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1"/>
    </row>
    <row r="331" spans="1:75" ht="15.75" customHeight="1" x14ac:dyDescent="0.2">
      <c r="A331" s="4"/>
      <c r="B331" s="4"/>
      <c r="C331" s="4"/>
      <c r="D331" s="4"/>
      <c r="E331" s="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1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1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1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1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1"/>
    </row>
    <row r="332" spans="1:75" ht="15.75" customHeight="1" x14ac:dyDescent="0.2">
      <c r="A332" s="4"/>
      <c r="B332" s="4"/>
      <c r="C332" s="4"/>
      <c r="D332" s="4"/>
      <c r="E332" s="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1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1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1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1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1"/>
    </row>
    <row r="333" spans="1:75" ht="15.75" customHeight="1" x14ac:dyDescent="0.2">
      <c r="A333" s="4"/>
      <c r="B333" s="4"/>
      <c r="C333" s="4"/>
      <c r="D333" s="4"/>
      <c r="E333" s="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1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1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1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1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1"/>
    </row>
    <row r="334" spans="1:75" ht="15.75" customHeight="1" x14ac:dyDescent="0.2">
      <c r="A334" s="4"/>
      <c r="B334" s="4"/>
      <c r="C334" s="4"/>
      <c r="D334" s="4"/>
      <c r="E334" s="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1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1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1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1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1"/>
    </row>
    <row r="335" spans="1:75" ht="15.75" customHeight="1" x14ac:dyDescent="0.2">
      <c r="A335" s="4"/>
      <c r="B335" s="4"/>
      <c r="C335" s="4"/>
      <c r="D335" s="4"/>
      <c r="E335" s="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1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1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1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1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1"/>
    </row>
    <row r="336" spans="1:75" ht="15.75" customHeight="1" x14ac:dyDescent="0.2">
      <c r="A336" s="4"/>
      <c r="B336" s="4"/>
      <c r="C336" s="4"/>
      <c r="D336" s="4"/>
      <c r="E336" s="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1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1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1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1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1"/>
    </row>
    <row r="337" spans="1:75" ht="15.75" customHeight="1" x14ac:dyDescent="0.2">
      <c r="A337" s="4"/>
      <c r="B337" s="4"/>
      <c r="C337" s="4"/>
      <c r="D337" s="4"/>
      <c r="E337" s="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1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1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1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1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1"/>
    </row>
    <row r="338" spans="1:75" ht="15.75" customHeight="1" x14ac:dyDescent="0.2">
      <c r="A338" s="4"/>
      <c r="B338" s="4"/>
      <c r="C338" s="4"/>
      <c r="D338" s="4"/>
      <c r="E338" s="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1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1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1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1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1"/>
    </row>
    <row r="339" spans="1:75" ht="15.75" customHeight="1" x14ac:dyDescent="0.2">
      <c r="A339" s="4"/>
      <c r="B339" s="4"/>
      <c r="C339" s="4"/>
      <c r="D339" s="4"/>
      <c r="E339" s="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1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1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1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1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1"/>
    </row>
    <row r="340" spans="1:75" ht="15.75" customHeight="1" x14ac:dyDescent="0.2">
      <c r="A340" s="4"/>
      <c r="B340" s="4"/>
      <c r="C340" s="4"/>
      <c r="D340" s="4"/>
      <c r="E340" s="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1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1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1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1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1"/>
    </row>
    <row r="341" spans="1:75" ht="15.75" customHeight="1" x14ac:dyDescent="0.2">
      <c r="A341" s="4"/>
      <c r="B341" s="4"/>
      <c r="C341" s="4"/>
      <c r="D341" s="4"/>
      <c r="E341" s="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1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1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1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1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1"/>
    </row>
    <row r="342" spans="1:75" ht="15.75" customHeight="1" x14ac:dyDescent="0.2">
      <c r="A342" s="4"/>
      <c r="B342" s="4"/>
      <c r="C342" s="4"/>
      <c r="D342" s="4"/>
      <c r="E342" s="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1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1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1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1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1"/>
    </row>
    <row r="343" spans="1:75" ht="15.75" customHeight="1" x14ac:dyDescent="0.2">
      <c r="A343" s="4"/>
      <c r="B343" s="4"/>
      <c r="C343" s="4"/>
      <c r="D343" s="4"/>
      <c r="E343" s="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1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1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1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1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1"/>
    </row>
    <row r="344" spans="1:75" ht="15.75" customHeight="1" x14ac:dyDescent="0.2">
      <c r="A344" s="4"/>
      <c r="B344" s="4"/>
      <c r="C344" s="4"/>
      <c r="D344" s="4"/>
      <c r="E344" s="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1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1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1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1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1"/>
    </row>
    <row r="345" spans="1:75" ht="15.75" customHeight="1" x14ac:dyDescent="0.2">
      <c r="A345" s="4"/>
      <c r="B345" s="4"/>
      <c r="C345" s="4"/>
      <c r="D345" s="4"/>
      <c r="E345" s="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1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1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1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1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1"/>
    </row>
    <row r="346" spans="1:75" ht="15.75" customHeight="1" x14ac:dyDescent="0.2">
      <c r="A346" s="4"/>
      <c r="B346" s="4"/>
      <c r="C346" s="4"/>
      <c r="D346" s="4"/>
      <c r="E346" s="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1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1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1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1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1"/>
    </row>
    <row r="347" spans="1:75" ht="15.75" customHeight="1" x14ac:dyDescent="0.2">
      <c r="A347" s="4"/>
      <c r="B347" s="4"/>
      <c r="C347" s="4"/>
      <c r="D347" s="4"/>
      <c r="E347" s="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1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1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1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1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1"/>
    </row>
    <row r="348" spans="1:75" ht="15.75" customHeight="1" x14ac:dyDescent="0.2">
      <c r="A348" s="4"/>
      <c r="B348" s="4"/>
      <c r="C348" s="4"/>
      <c r="D348" s="4"/>
      <c r="E348" s="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1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1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1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1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1"/>
    </row>
    <row r="349" spans="1:75" ht="15.75" customHeight="1" x14ac:dyDescent="0.2">
      <c r="A349" s="4"/>
      <c r="B349" s="4"/>
      <c r="C349" s="4"/>
      <c r="D349" s="4"/>
      <c r="E349" s="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1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1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1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1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1"/>
    </row>
    <row r="350" spans="1:75" ht="15.75" customHeight="1" x14ac:dyDescent="0.2">
      <c r="A350" s="4"/>
      <c r="B350" s="4"/>
      <c r="C350" s="4"/>
      <c r="D350" s="4"/>
      <c r="E350" s="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1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1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1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1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1"/>
    </row>
    <row r="351" spans="1:75" ht="15.75" customHeight="1" x14ac:dyDescent="0.2">
      <c r="A351" s="4"/>
      <c r="B351" s="4"/>
      <c r="C351" s="4"/>
      <c r="D351" s="4"/>
      <c r="E351" s="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1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1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1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1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1"/>
    </row>
    <row r="352" spans="1:75" ht="15.75" customHeight="1" x14ac:dyDescent="0.2">
      <c r="A352" s="4"/>
      <c r="B352" s="4"/>
      <c r="C352" s="4"/>
      <c r="D352" s="4"/>
      <c r="E352" s="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1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1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1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1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1"/>
    </row>
    <row r="353" spans="1:75" ht="15.75" customHeight="1" x14ac:dyDescent="0.2">
      <c r="A353" s="4"/>
      <c r="B353" s="4"/>
      <c r="C353" s="4"/>
      <c r="D353" s="4"/>
      <c r="E353" s="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1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1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1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1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1"/>
    </row>
    <row r="354" spans="1:75" ht="15.75" customHeight="1" x14ac:dyDescent="0.2">
      <c r="A354" s="4"/>
      <c r="B354" s="4"/>
      <c r="C354" s="4"/>
      <c r="D354" s="4"/>
      <c r="E354" s="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1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1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1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1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1"/>
    </row>
    <row r="355" spans="1:75" ht="15.75" customHeight="1" x14ac:dyDescent="0.2">
      <c r="A355" s="4"/>
      <c r="B355" s="4"/>
      <c r="C355" s="4"/>
      <c r="D355" s="4"/>
      <c r="E355" s="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1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1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1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1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1"/>
    </row>
    <row r="356" spans="1:75" ht="15.75" customHeight="1" x14ac:dyDescent="0.2">
      <c r="A356" s="4"/>
      <c r="B356" s="4"/>
      <c r="C356" s="4"/>
      <c r="D356" s="4"/>
      <c r="E356" s="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1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1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1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1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1"/>
    </row>
    <row r="357" spans="1:75" ht="15.75" customHeight="1" x14ac:dyDescent="0.2">
      <c r="A357" s="4"/>
      <c r="B357" s="4"/>
      <c r="C357" s="4"/>
      <c r="D357" s="4"/>
      <c r="E357" s="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1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1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1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1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1"/>
    </row>
    <row r="358" spans="1:75" ht="15.75" customHeight="1" x14ac:dyDescent="0.2">
      <c r="A358" s="4"/>
      <c r="B358" s="4"/>
      <c r="C358" s="4"/>
      <c r="D358" s="4"/>
      <c r="E358" s="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1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1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1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1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1"/>
    </row>
    <row r="359" spans="1:75" ht="15.75" customHeight="1" x14ac:dyDescent="0.2">
      <c r="A359" s="4"/>
      <c r="B359" s="4"/>
      <c r="C359" s="4"/>
      <c r="D359" s="4"/>
      <c r="E359" s="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1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1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1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1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1"/>
    </row>
    <row r="360" spans="1:75" ht="15.75" customHeight="1" x14ac:dyDescent="0.2">
      <c r="A360" s="4"/>
      <c r="B360" s="4"/>
      <c r="C360" s="4"/>
      <c r="D360" s="4"/>
      <c r="E360" s="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1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1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1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1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1"/>
    </row>
    <row r="361" spans="1:75" ht="15.75" customHeight="1" x14ac:dyDescent="0.2">
      <c r="A361" s="4"/>
      <c r="B361" s="4"/>
      <c r="C361" s="4"/>
      <c r="D361" s="4"/>
      <c r="E361" s="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1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1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1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1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1"/>
    </row>
    <row r="362" spans="1:75" ht="15.75" customHeight="1" x14ac:dyDescent="0.2">
      <c r="A362" s="4"/>
      <c r="B362" s="4"/>
      <c r="C362" s="4"/>
      <c r="D362" s="4"/>
      <c r="E362" s="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1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1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1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1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1"/>
    </row>
    <row r="363" spans="1:75" ht="15.75" customHeight="1" x14ac:dyDescent="0.2">
      <c r="A363" s="4"/>
      <c r="B363" s="4"/>
      <c r="C363" s="4"/>
      <c r="D363" s="4"/>
      <c r="E363" s="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1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1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1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1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1"/>
    </row>
    <row r="364" spans="1:75" ht="15.75" customHeight="1" x14ac:dyDescent="0.2">
      <c r="A364" s="4"/>
      <c r="B364" s="4"/>
      <c r="C364" s="4"/>
      <c r="D364" s="4"/>
      <c r="E364" s="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1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1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1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1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1"/>
    </row>
    <row r="365" spans="1:75" ht="15.75" customHeight="1" x14ac:dyDescent="0.2">
      <c r="A365" s="4"/>
      <c r="B365" s="4"/>
      <c r="C365" s="4"/>
      <c r="D365" s="4"/>
      <c r="E365" s="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1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1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1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1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1"/>
    </row>
    <row r="366" spans="1:75" ht="15.75" customHeight="1" x14ac:dyDescent="0.2">
      <c r="A366" s="4"/>
      <c r="B366" s="4"/>
      <c r="C366" s="4"/>
      <c r="D366" s="4"/>
      <c r="E366" s="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1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1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1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1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1"/>
    </row>
    <row r="367" spans="1:75" ht="15.75" customHeight="1" x14ac:dyDescent="0.2">
      <c r="A367" s="4"/>
      <c r="B367" s="4"/>
      <c r="C367" s="4"/>
      <c r="D367" s="4"/>
      <c r="E367" s="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1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1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1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1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1"/>
    </row>
    <row r="368" spans="1:75" ht="15.75" customHeight="1" x14ac:dyDescent="0.2">
      <c r="A368" s="4"/>
      <c r="B368" s="4"/>
      <c r="C368" s="4"/>
      <c r="D368" s="4"/>
      <c r="E368" s="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1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1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1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1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1"/>
    </row>
    <row r="369" spans="1:75" ht="15.75" customHeight="1" x14ac:dyDescent="0.2">
      <c r="A369" s="4"/>
      <c r="B369" s="4"/>
      <c r="C369" s="4"/>
      <c r="D369" s="4"/>
      <c r="E369" s="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1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1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1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1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1"/>
    </row>
    <row r="370" spans="1:75" ht="15.75" customHeight="1" x14ac:dyDescent="0.2">
      <c r="A370" s="4"/>
      <c r="B370" s="4"/>
      <c r="C370" s="4"/>
      <c r="D370" s="4"/>
      <c r="E370" s="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1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1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1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1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1"/>
    </row>
    <row r="371" spans="1:75" ht="15.75" customHeight="1" x14ac:dyDescent="0.2">
      <c r="A371" s="4"/>
      <c r="B371" s="4"/>
      <c r="C371" s="4"/>
      <c r="D371" s="4"/>
      <c r="E371" s="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1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1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1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1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1"/>
    </row>
    <row r="372" spans="1:75" ht="15.75" customHeight="1" x14ac:dyDescent="0.2">
      <c r="A372" s="4"/>
      <c r="B372" s="4"/>
      <c r="C372" s="4"/>
      <c r="D372" s="4"/>
      <c r="E372" s="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1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1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1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1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1"/>
    </row>
    <row r="373" spans="1:75" ht="15.75" customHeight="1" x14ac:dyDescent="0.2">
      <c r="A373" s="4"/>
      <c r="B373" s="4"/>
      <c r="C373" s="4"/>
      <c r="D373" s="4"/>
      <c r="E373" s="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1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1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1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1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1"/>
    </row>
    <row r="374" spans="1:75" ht="15.75" customHeight="1" x14ac:dyDescent="0.2">
      <c r="A374" s="4"/>
      <c r="B374" s="4"/>
      <c r="C374" s="4"/>
      <c r="D374" s="4"/>
      <c r="E374" s="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1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1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1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1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1"/>
    </row>
    <row r="375" spans="1:75" ht="15.75" customHeight="1" x14ac:dyDescent="0.2">
      <c r="A375" s="4"/>
      <c r="B375" s="4"/>
      <c r="C375" s="4"/>
      <c r="D375" s="4"/>
      <c r="E375" s="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1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1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1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1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1"/>
    </row>
    <row r="376" spans="1:75" ht="15.75" customHeight="1" x14ac:dyDescent="0.2">
      <c r="A376" s="4"/>
      <c r="B376" s="4"/>
      <c r="C376" s="4"/>
      <c r="D376" s="4"/>
      <c r="E376" s="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1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1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1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1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1"/>
    </row>
    <row r="377" spans="1:75" ht="15.75" customHeight="1" x14ac:dyDescent="0.2">
      <c r="A377" s="4"/>
      <c r="B377" s="4"/>
      <c r="C377" s="4"/>
      <c r="D377" s="4"/>
      <c r="E377" s="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1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1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1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1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1"/>
    </row>
    <row r="378" spans="1:75" ht="15.75" customHeight="1" x14ac:dyDescent="0.2">
      <c r="A378" s="4"/>
      <c r="B378" s="4"/>
      <c r="C378" s="4"/>
      <c r="D378" s="4"/>
      <c r="E378" s="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1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1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1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1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1"/>
    </row>
    <row r="379" spans="1:75" ht="15.75" customHeight="1" x14ac:dyDescent="0.2">
      <c r="A379" s="4"/>
      <c r="B379" s="4"/>
      <c r="C379" s="4"/>
      <c r="D379" s="4"/>
      <c r="E379" s="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1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1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1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1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1"/>
    </row>
    <row r="380" spans="1:75" ht="15.75" customHeight="1" x14ac:dyDescent="0.2">
      <c r="A380" s="4"/>
      <c r="B380" s="4"/>
      <c r="C380" s="4"/>
      <c r="D380" s="4"/>
      <c r="E380" s="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1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1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1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1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1"/>
    </row>
    <row r="381" spans="1:75" ht="15.75" customHeight="1" x14ac:dyDescent="0.2">
      <c r="A381" s="4"/>
      <c r="B381" s="4"/>
      <c r="C381" s="4"/>
      <c r="D381" s="4"/>
      <c r="E381" s="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1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1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1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1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1"/>
    </row>
    <row r="382" spans="1:75" ht="15.75" customHeight="1" x14ac:dyDescent="0.2">
      <c r="A382" s="4"/>
      <c r="B382" s="4"/>
      <c r="C382" s="4"/>
      <c r="D382" s="4"/>
      <c r="E382" s="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1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1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1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1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1"/>
    </row>
    <row r="383" spans="1:75" ht="15.75" customHeight="1" x14ac:dyDescent="0.2">
      <c r="A383" s="4"/>
      <c r="B383" s="4"/>
      <c r="C383" s="4"/>
      <c r="D383" s="4"/>
      <c r="E383" s="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1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1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1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1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1"/>
    </row>
    <row r="384" spans="1:75" ht="15.75" customHeight="1" x14ac:dyDescent="0.2">
      <c r="A384" s="4"/>
      <c r="B384" s="4"/>
      <c r="C384" s="4"/>
      <c r="D384" s="4"/>
      <c r="E384" s="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1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1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1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1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1"/>
    </row>
    <row r="385" spans="1:75" ht="15.75" customHeight="1" x14ac:dyDescent="0.2">
      <c r="A385" s="4"/>
      <c r="B385" s="4"/>
      <c r="C385" s="4"/>
      <c r="D385" s="4"/>
      <c r="E385" s="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1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1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1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1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1"/>
    </row>
    <row r="386" spans="1:75" ht="15.75" customHeight="1" x14ac:dyDescent="0.2">
      <c r="A386" s="4"/>
      <c r="B386" s="4"/>
      <c r="C386" s="4"/>
      <c r="D386" s="4"/>
      <c r="E386" s="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1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1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1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1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1"/>
    </row>
    <row r="387" spans="1:75" ht="15.75" customHeight="1" x14ac:dyDescent="0.2">
      <c r="A387" s="4"/>
      <c r="B387" s="4"/>
      <c r="C387" s="4"/>
      <c r="D387" s="4"/>
      <c r="E387" s="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1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1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1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1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1"/>
    </row>
    <row r="388" spans="1:75" ht="15.75" customHeight="1" x14ac:dyDescent="0.2">
      <c r="A388" s="4"/>
      <c r="B388" s="4"/>
      <c r="C388" s="4"/>
      <c r="D388" s="4"/>
      <c r="E388" s="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1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1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1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1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1"/>
    </row>
    <row r="389" spans="1:75" ht="15.75" customHeight="1" x14ac:dyDescent="0.2">
      <c r="A389" s="4"/>
      <c r="B389" s="4"/>
      <c r="C389" s="4"/>
      <c r="D389" s="4"/>
      <c r="E389" s="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1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1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1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1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1"/>
    </row>
    <row r="390" spans="1:75" ht="15.75" customHeight="1" x14ac:dyDescent="0.2">
      <c r="A390" s="4"/>
      <c r="B390" s="4"/>
      <c r="C390" s="4"/>
      <c r="D390" s="4"/>
      <c r="E390" s="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1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1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1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1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1"/>
    </row>
    <row r="391" spans="1:75" ht="15.75" customHeight="1" x14ac:dyDescent="0.2">
      <c r="A391" s="4"/>
      <c r="B391" s="4"/>
      <c r="C391" s="4"/>
      <c r="D391" s="4"/>
      <c r="E391" s="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1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1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1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1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1"/>
    </row>
    <row r="392" spans="1:75" ht="15.75" customHeight="1" x14ac:dyDescent="0.2">
      <c r="A392" s="4"/>
      <c r="B392" s="4"/>
      <c r="C392" s="4"/>
      <c r="D392" s="4"/>
      <c r="E392" s="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1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1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1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1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1"/>
    </row>
    <row r="393" spans="1:75" ht="15.75" customHeight="1" x14ac:dyDescent="0.2">
      <c r="A393" s="4"/>
      <c r="B393" s="4"/>
      <c r="C393" s="4"/>
      <c r="D393" s="4"/>
      <c r="E393" s="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1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1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1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1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1"/>
    </row>
    <row r="394" spans="1:75" ht="15.75" customHeight="1" x14ac:dyDescent="0.2">
      <c r="A394" s="4"/>
      <c r="B394" s="4"/>
      <c r="C394" s="4"/>
      <c r="D394" s="4"/>
      <c r="E394" s="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1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1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1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1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1"/>
    </row>
    <row r="395" spans="1:75" ht="15.75" customHeight="1" x14ac:dyDescent="0.2">
      <c r="A395" s="4"/>
      <c r="B395" s="4"/>
      <c r="C395" s="4"/>
      <c r="D395" s="4"/>
      <c r="E395" s="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1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1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1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1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1"/>
    </row>
    <row r="396" spans="1:75" ht="15.75" customHeight="1" x14ac:dyDescent="0.2">
      <c r="A396" s="4"/>
      <c r="B396" s="4"/>
      <c r="C396" s="4"/>
      <c r="D396" s="4"/>
      <c r="E396" s="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1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1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1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1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1"/>
    </row>
    <row r="397" spans="1:75" ht="15.75" customHeight="1" x14ac:dyDescent="0.2">
      <c r="A397" s="4"/>
      <c r="B397" s="4"/>
      <c r="C397" s="4"/>
      <c r="D397" s="4"/>
      <c r="E397" s="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1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1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1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1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1"/>
    </row>
    <row r="398" spans="1:75" ht="15.75" customHeight="1" x14ac:dyDescent="0.2">
      <c r="A398" s="4"/>
      <c r="B398" s="4"/>
      <c r="C398" s="4"/>
      <c r="D398" s="4"/>
      <c r="E398" s="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1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1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1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1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1"/>
    </row>
    <row r="399" spans="1:75" ht="15.75" customHeight="1" x14ac:dyDescent="0.2">
      <c r="A399" s="4"/>
      <c r="B399" s="4"/>
      <c r="C399" s="4"/>
      <c r="D399" s="4"/>
      <c r="E399" s="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1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1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1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1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1"/>
    </row>
    <row r="400" spans="1:75" ht="15.75" customHeight="1" x14ac:dyDescent="0.2">
      <c r="A400" s="4"/>
      <c r="B400" s="4"/>
      <c r="C400" s="4"/>
      <c r="D400" s="4"/>
      <c r="E400" s="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1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1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1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1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1"/>
    </row>
    <row r="401" spans="1:75" ht="15.75" customHeight="1" x14ac:dyDescent="0.2">
      <c r="A401" s="4"/>
      <c r="B401" s="4"/>
      <c r="C401" s="4"/>
      <c r="D401" s="4"/>
      <c r="E401" s="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1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1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1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1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1"/>
    </row>
    <row r="402" spans="1:75" ht="15.75" customHeight="1" x14ac:dyDescent="0.2">
      <c r="A402" s="4"/>
      <c r="B402" s="4"/>
      <c r="C402" s="4"/>
      <c r="D402" s="4"/>
      <c r="E402" s="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1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1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1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1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1"/>
    </row>
    <row r="403" spans="1:75" ht="15.75" customHeight="1" x14ac:dyDescent="0.2">
      <c r="A403" s="4"/>
      <c r="B403" s="4"/>
      <c r="C403" s="4"/>
      <c r="D403" s="4"/>
      <c r="E403" s="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1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1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1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1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1"/>
    </row>
    <row r="404" spans="1:75" ht="15.75" customHeight="1" x14ac:dyDescent="0.2">
      <c r="A404" s="4"/>
      <c r="B404" s="4"/>
      <c r="C404" s="4"/>
      <c r="D404" s="4"/>
      <c r="E404" s="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1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1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1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1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1"/>
    </row>
    <row r="405" spans="1:75" ht="15.75" customHeight="1" x14ac:dyDescent="0.2">
      <c r="A405" s="4"/>
      <c r="B405" s="4"/>
      <c r="C405" s="4"/>
      <c r="D405" s="4"/>
      <c r="E405" s="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1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1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1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1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1"/>
    </row>
    <row r="406" spans="1:75" ht="15.75" customHeight="1" x14ac:dyDescent="0.2">
      <c r="A406" s="4"/>
      <c r="B406" s="4"/>
      <c r="C406" s="4"/>
      <c r="D406" s="4"/>
      <c r="E406" s="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1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1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1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1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1"/>
    </row>
    <row r="407" spans="1:75" ht="15.75" customHeight="1" x14ac:dyDescent="0.2">
      <c r="A407" s="4"/>
      <c r="B407" s="4"/>
      <c r="C407" s="4"/>
      <c r="D407" s="4"/>
      <c r="E407" s="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1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1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1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1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1"/>
    </row>
    <row r="408" spans="1:75" ht="15.75" customHeight="1" x14ac:dyDescent="0.2">
      <c r="A408" s="4"/>
      <c r="B408" s="4"/>
      <c r="C408" s="4"/>
      <c r="D408" s="4"/>
      <c r="E408" s="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1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1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1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1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1"/>
    </row>
    <row r="409" spans="1:75" ht="15.75" customHeight="1" x14ac:dyDescent="0.2">
      <c r="A409" s="4"/>
      <c r="B409" s="4"/>
      <c r="C409" s="4"/>
      <c r="D409" s="4"/>
      <c r="E409" s="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1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1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1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1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1"/>
    </row>
    <row r="410" spans="1:75" ht="15.75" customHeight="1" x14ac:dyDescent="0.2">
      <c r="A410" s="4"/>
      <c r="B410" s="4"/>
      <c r="C410" s="4"/>
      <c r="D410" s="4"/>
      <c r="E410" s="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1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1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1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1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1"/>
    </row>
    <row r="411" spans="1:75" ht="15.75" customHeight="1" x14ac:dyDescent="0.2">
      <c r="A411" s="4"/>
      <c r="B411" s="4"/>
      <c r="C411" s="4"/>
      <c r="D411" s="4"/>
      <c r="E411" s="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1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1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1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1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1"/>
    </row>
    <row r="412" spans="1:75" ht="15.75" customHeight="1" x14ac:dyDescent="0.2">
      <c r="A412" s="4"/>
      <c r="B412" s="4"/>
      <c r="C412" s="4"/>
      <c r="D412" s="4"/>
      <c r="E412" s="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1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1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1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1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1"/>
    </row>
    <row r="413" spans="1:75" ht="15.75" customHeight="1" x14ac:dyDescent="0.2">
      <c r="A413" s="4"/>
      <c r="B413" s="4"/>
      <c r="C413" s="4"/>
      <c r="D413" s="4"/>
      <c r="E413" s="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1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1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1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1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1"/>
    </row>
    <row r="414" spans="1:75" ht="15.75" customHeight="1" x14ac:dyDescent="0.2">
      <c r="A414" s="4"/>
      <c r="B414" s="4"/>
      <c r="C414" s="4"/>
      <c r="D414" s="4"/>
      <c r="E414" s="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1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1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1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1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1"/>
    </row>
    <row r="415" spans="1:75" ht="15.75" customHeight="1" x14ac:dyDescent="0.2">
      <c r="A415" s="4"/>
      <c r="B415" s="4"/>
      <c r="C415" s="4"/>
      <c r="D415" s="4"/>
      <c r="E415" s="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1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1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1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1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1"/>
    </row>
    <row r="416" spans="1:75" ht="15.75" customHeight="1" x14ac:dyDescent="0.2">
      <c r="A416" s="4"/>
      <c r="B416" s="4"/>
      <c r="C416" s="4"/>
      <c r="D416" s="4"/>
      <c r="E416" s="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1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1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1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1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1"/>
    </row>
    <row r="417" spans="1:75" ht="15.75" customHeight="1" x14ac:dyDescent="0.2">
      <c r="A417" s="4"/>
      <c r="B417" s="4"/>
      <c r="C417" s="4"/>
      <c r="D417" s="4"/>
      <c r="E417" s="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1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1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1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1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1"/>
    </row>
    <row r="418" spans="1:75" ht="15.75" customHeight="1" x14ac:dyDescent="0.2">
      <c r="A418" s="4"/>
      <c r="B418" s="4"/>
      <c r="C418" s="4"/>
      <c r="D418" s="4"/>
      <c r="E418" s="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1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1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1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1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1"/>
    </row>
    <row r="419" spans="1:75" ht="15.75" customHeight="1" x14ac:dyDescent="0.2">
      <c r="A419" s="4"/>
      <c r="B419" s="4"/>
      <c r="C419" s="4"/>
      <c r="D419" s="4"/>
      <c r="E419" s="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1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1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1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1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1"/>
    </row>
    <row r="420" spans="1:75" ht="15.75" customHeight="1" x14ac:dyDescent="0.2">
      <c r="A420" s="4"/>
      <c r="B420" s="4"/>
      <c r="C420" s="4"/>
      <c r="D420" s="4"/>
      <c r="E420" s="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1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1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1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1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1"/>
    </row>
    <row r="421" spans="1:75" ht="15.75" customHeight="1" x14ac:dyDescent="0.2">
      <c r="A421" s="4"/>
      <c r="B421" s="4"/>
      <c r="C421" s="4"/>
      <c r="D421" s="4"/>
      <c r="E421" s="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1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1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1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1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1"/>
    </row>
    <row r="422" spans="1:75" ht="15.75" customHeight="1" x14ac:dyDescent="0.2">
      <c r="A422" s="4"/>
      <c r="B422" s="4"/>
      <c r="C422" s="4"/>
      <c r="D422" s="4"/>
      <c r="E422" s="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1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1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1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1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1"/>
    </row>
    <row r="423" spans="1:75" ht="15.75" customHeight="1" x14ac:dyDescent="0.2">
      <c r="A423" s="4"/>
      <c r="B423" s="4"/>
      <c r="C423" s="4"/>
      <c r="D423" s="4"/>
      <c r="E423" s="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1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1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1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1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1"/>
    </row>
    <row r="424" spans="1:75" ht="15.75" customHeight="1" x14ac:dyDescent="0.2">
      <c r="A424" s="4"/>
      <c r="B424" s="4"/>
      <c r="C424" s="4"/>
      <c r="D424" s="4"/>
      <c r="E424" s="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1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1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1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1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1"/>
    </row>
    <row r="425" spans="1:75" ht="15.75" customHeight="1" x14ac:dyDescent="0.2">
      <c r="A425" s="4"/>
      <c r="B425" s="4"/>
      <c r="C425" s="4"/>
      <c r="D425" s="4"/>
      <c r="E425" s="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1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1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1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1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1"/>
    </row>
    <row r="426" spans="1:75" ht="15.75" customHeight="1" x14ac:dyDescent="0.2">
      <c r="A426" s="4"/>
      <c r="B426" s="4"/>
      <c r="C426" s="4"/>
      <c r="D426" s="4"/>
      <c r="E426" s="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1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1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1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1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1"/>
    </row>
    <row r="427" spans="1:75" ht="15.75" customHeight="1" x14ac:dyDescent="0.2">
      <c r="A427" s="4"/>
      <c r="B427" s="4"/>
      <c r="C427" s="4"/>
      <c r="D427" s="4"/>
      <c r="E427" s="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1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1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1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1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1"/>
    </row>
    <row r="428" spans="1:75" ht="15.75" customHeight="1" x14ac:dyDescent="0.2">
      <c r="A428" s="4"/>
      <c r="B428" s="4"/>
      <c r="C428" s="4"/>
      <c r="D428" s="4"/>
      <c r="E428" s="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1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1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1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1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1"/>
    </row>
    <row r="429" spans="1:75" ht="15.75" customHeight="1" x14ac:dyDescent="0.2">
      <c r="A429" s="4"/>
      <c r="B429" s="4"/>
      <c r="C429" s="4"/>
      <c r="D429" s="4"/>
      <c r="E429" s="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1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1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1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1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1"/>
    </row>
    <row r="430" spans="1:75" ht="15.75" customHeight="1" x14ac:dyDescent="0.2">
      <c r="A430" s="4"/>
      <c r="B430" s="4"/>
      <c r="C430" s="4"/>
      <c r="D430" s="4"/>
      <c r="E430" s="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1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1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1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1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1"/>
    </row>
    <row r="431" spans="1:75" ht="15.75" customHeight="1" x14ac:dyDescent="0.2">
      <c r="A431" s="4"/>
      <c r="B431" s="4"/>
      <c r="C431" s="4"/>
      <c r="D431" s="4"/>
      <c r="E431" s="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1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1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1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1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1"/>
    </row>
    <row r="432" spans="1:75" ht="15.75" customHeight="1" x14ac:dyDescent="0.2">
      <c r="A432" s="4"/>
      <c r="B432" s="4"/>
      <c r="C432" s="4"/>
      <c r="D432" s="4"/>
      <c r="E432" s="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1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1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1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1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1"/>
    </row>
    <row r="433" spans="1:75" ht="15.75" customHeight="1" x14ac:dyDescent="0.2">
      <c r="A433" s="4"/>
      <c r="B433" s="4"/>
      <c r="C433" s="4"/>
      <c r="D433" s="4"/>
      <c r="E433" s="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1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1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1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1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1"/>
    </row>
    <row r="434" spans="1:75" ht="15.75" customHeight="1" x14ac:dyDescent="0.2">
      <c r="A434" s="4"/>
      <c r="B434" s="4"/>
      <c r="C434" s="4"/>
      <c r="D434" s="4"/>
      <c r="E434" s="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1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1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1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1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1"/>
    </row>
    <row r="435" spans="1:75" ht="15.75" customHeight="1" x14ac:dyDescent="0.2">
      <c r="A435" s="4"/>
      <c r="B435" s="4"/>
      <c r="C435" s="4"/>
      <c r="D435" s="4"/>
      <c r="E435" s="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1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1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1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1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1"/>
    </row>
    <row r="436" spans="1:75" ht="15.75" customHeight="1" x14ac:dyDescent="0.2">
      <c r="A436" s="4"/>
      <c r="B436" s="4"/>
      <c r="C436" s="4"/>
      <c r="D436" s="4"/>
      <c r="E436" s="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1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1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1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1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1"/>
    </row>
    <row r="437" spans="1:75" ht="15.75" customHeight="1" x14ac:dyDescent="0.2">
      <c r="A437" s="4"/>
      <c r="B437" s="4"/>
      <c r="C437" s="4"/>
      <c r="D437" s="4"/>
      <c r="E437" s="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1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1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1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1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1"/>
    </row>
    <row r="438" spans="1:75" ht="15.75" customHeight="1" x14ac:dyDescent="0.2">
      <c r="A438" s="4"/>
      <c r="B438" s="4"/>
      <c r="C438" s="4"/>
      <c r="D438" s="4"/>
      <c r="E438" s="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1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1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1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1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1"/>
    </row>
    <row r="439" spans="1:75" ht="15.75" customHeight="1" x14ac:dyDescent="0.2">
      <c r="A439" s="4"/>
      <c r="B439" s="4"/>
      <c r="C439" s="4"/>
      <c r="D439" s="4"/>
      <c r="E439" s="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1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1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1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1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1"/>
    </row>
    <row r="440" spans="1:75" ht="15.75" customHeight="1" x14ac:dyDescent="0.2">
      <c r="A440" s="4"/>
      <c r="B440" s="4"/>
      <c r="C440" s="4"/>
      <c r="D440" s="4"/>
      <c r="E440" s="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1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1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1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1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1"/>
    </row>
    <row r="441" spans="1:75" ht="15.75" customHeight="1" x14ac:dyDescent="0.2">
      <c r="A441" s="4"/>
      <c r="B441" s="4"/>
      <c r="C441" s="4"/>
      <c r="D441" s="4"/>
      <c r="E441" s="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1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1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1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1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1"/>
    </row>
    <row r="442" spans="1:75" ht="15.75" customHeight="1" x14ac:dyDescent="0.2">
      <c r="A442" s="4"/>
      <c r="B442" s="4"/>
      <c r="C442" s="4"/>
      <c r="D442" s="4"/>
      <c r="E442" s="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1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1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1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1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1"/>
    </row>
    <row r="443" spans="1:75" ht="15.75" customHeight="1" x14ac:dyDescent="0.2">
      <c r="A443" s="4"/>
      <c r="B443" s="4"/>
      <c r="C443" s="4"/>
      <c r="D443" s="4"/>
      <c r="E443" s="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1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1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1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1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1"/>
    </row>
    <row r="444" spans="1:75" ht="15.75" customHeight="1" x14ac:dyDescent="0.2">
      <c r="A444" s="4"/>
      <c r="B444" s="4"/>
      <c r="C444" s="4"/>
      <c r="D444" s="4"/>
      <c r="E444" s="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1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1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1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1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1"/>
    </row>
    <row r="445" spans="1:75" ht="15.75" customHeight="1" x14ac:dyDescent="0.2">
      <c r="A445" s="4"/>
      <c r="B445" s="4"/>
      <c r="C445" s="4"/>
      <c r="D445" s="4"/>
      <c r="E445" s="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1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1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1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1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1"/>
    </row>
    <row r="446" spans="1:75" ht="15.75" customHeight="1" x14ac:dyDescent="0.2">
      <c r="A446" s="4"/>
      <c r="B446" s="4"/>
      <c r="C446" s="4"/>
      <c r="D446" s="4"/>
      <c r="E446" s="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1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1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1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1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1"/>
    </row>
    <row r="447" spans="1:75" ht="15.75" customHeight="1" x14ac:dyDescent="0.2">
      <c r="A447" s="4"/>
      <c r="B447" s="4"/>
      <c r="C447" s="4"/>
      <c r="D447" s="4"/>
      <c r="E447" s="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1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1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1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1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1"/>
    </row>
    <row r="448" spans="1:75" ht="15.75" customHeight="1" x14ac:dyDescent="0.2">
      <c r="A448" s="4"/>
      <c r="B448" s="4"/>
      <c r="C448" s="4"/>
      <c r="D448" s="4"/>
      <c r="E448" s="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1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1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1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1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1"/>
    </row>
    <row r="449" spans="1:75" ht="15.75" customHeight="1" x14ac:dyDescent="0.2">
      <c r="A449" s="4"/>
      <c r="B449" s="4"/>
      <c r="C449" s="4"/>
      <c r="D449" s="4"/>
      <c r="E449" s="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1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1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1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1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1"/>
    </row>
    <row r="450" spans="1:75" ht="15.75" customHeight="1" x14ac:dyDescent="0.2">
      <c r="A450" s="4"/>
      <c r="B450" s="4"/>
      <c r="C450" s="4"/>
      <c r="D450" s="4"/>
      <c r="E450" s="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1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1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1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1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1"/>
    </row>
    <row r="451" spans="1:75" ht="15.75" customHeight="1" x14ac:dyDescent="0.2">
      <c r="A451" s="4"/>
      <c r="B451" s="4"/>
      <c r="C451" s="4"/>
      <c r="D451" s="4"/>
      <c r="E451" s="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1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1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1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1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1"/>
    </row>
    <row r="452" spans="1:75" ht="15.75" customHeight="1" x14ac:dyDescent="0.2">
      <c r="A452" s="4"/>
      <c r="B452" s="4"/>
      <c r="C452" s="4"/>
      <c r="D452" s="4"/>
      <c r="E452" s="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1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1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1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1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1"/>
    </row>
    <row r="453" spans="1:75" ht="15.75" customHeight="1" x14ac:dyDescent="0.2">
      <c r="A453" s="4"/>
      <c r="B453" s="4"/>
      <c r="C453" s="4"/>
      <c r="D453" s="4"/>
      <c r="E453" s="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1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1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1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1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1"/>
    </row>
    <row r="454" spans="1:75" ht="15.75" customHeight="1" x14ac:dyDescent="0.2">
      <c r="A454" s="4"/>
      <c r="B454" s="4"/>
      <c r="C454" s="4"/>
      <c r="D454" s="4"/>
      <c r="E454" s="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1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1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1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1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1"/>
    </row>
    <row r="455" spans="1:75" ht="15.75" customHeight="1" x14ac:dyDescent="0.2">
      <c r="A455" s="4"/>
      <c r="B455" s="4"/>
      <c r="C455" s="4"/>
      <c r="D455" s="4"/>
      <c r="E455" s="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1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1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1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1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1"/>
    </row>
    <row r="456" spans="1:75" ht="15.75" customHeight="1" x14ac:dyDescent="0.2">
      <c r="A456" s="4"/>
      <c r="B456" s="4"/>
      <c r="C456" s="4"/>
      <c r="D456" s="4"/>
      <c r="E456" s="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1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1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1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1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1"/>
    </row>
    <row r="457" spans="1:75" ht="15.75" customHeight="1" x14ac:dyDescent="0.2">
      <c r="A457" s="4"/>
      <c r="B457" s="4"/>
      <c r="C457" s="4"/>
      <c r="D457" s="4"/>
      <c r="E457" s="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1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1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1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1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1"/>
    </row>
    <row r="458" spans="1:75" ht="15.75" customHeight="1" x14ac:dyDescent="0.2">
      <c r="A458" s="4"/>
      <c r="B458" s="4"/>
      <c r="C458" s="4"/>
      <c r="D458" s="4"/>
      <c r="E458" s="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1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1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1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1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1"/>
    </row>
    <row r="459" spans="1:75" ht="15.75" customHeight="1" x14ac:dyDescent="0.2">
      <c r="A459" s="4"/>
      <c r="B459" s="4"/>
      <c r="C459" s="4"/>
      <c r="D459" s="4"/>
      <c r="E459" s="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1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1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1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1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1"/>
    </row>
    <row r="460" spans="1:75" ht="15.75" customHeight="1" x14ac:dyDescent="0.2">
      <c r="A460" s="4"/>
      <c r="B460" s="4"/>
      <c r="C460" s="4"/>
      <c r="D460" s="4"/>
      <c r="E460" s="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1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1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1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1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1"/>
    </row>
    <row r="461" spans="1:75" ht="15.75" customHeight="1" x14ac:dyDescent="0.2">
      <c r="A461" s="4"/>
      <c r="B461" s="4"/>
      <c r="C461" s="4"/>
      <c r="D461" s="4"/>
      <c r="E461" s="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1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1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1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1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1"/>
    </row>
    <row r="462" spans="1:75" ht="15.75" customHeight="1" x14ac:dyDescent="0.2">
      <c r="A462" s="4"/>
      <c r="B462" s="4"/>
      <c r="C462" s="4"/>
      <c r="D462" s="4"/>
      <c r="E462" s="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1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1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1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1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1"/>
    </row>
    <row r="463" spans="1:75" ht="15.75" customHeight="1" x14ac:dyDescent="0.2">
      <c r="A463" s="4"/>
      <c r="B463" s="4"/>
      <c r="C463" s="4"/>
      <c r="D463" s="4"/>
      <c r="E463" s="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1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1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1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1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1"/>
    </row>
    <row r="464" spans="1:75" ht="15.75" customHeight="1" x14ac:dyDescent="0.2">
      <c r="A464" s="4"/>
      <c r="B464" s="4"/>
      <c r="C464" s="4"/>
      <c r="D464" s="4"/>
      <c r="E464" s="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1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1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1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1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1"/>
    </row>
    <row r="465" spans="1:75" ht="15.75" customHeight="1" x14ac:dyDescent="0.2">
      <c r="A465" s="4"/>
      <c r="B465" s="4"/>
      <c r="C465" s="4"/>
      <c r="D465" s="4"/>
      <c r="E465" s="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1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1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1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1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1"/>
    </row>
    <row r="466" spans="1:75" ht="15.75" customHeight="1" x14ac:dyDescent="0.2">
      <c r="A466" s="4"/>
      <c r="B466" s="4"/>
      <c r="C466" s="4"/>
      <c r="D466" s="4"/>
      <c r="E466" s="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1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1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1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1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1"/>
    </row>
    <row r="467" spans="1:75" ht="15.75" customHeight="1" x14ac:dyDescent="0.2">
      <c r="A467" s="4"/>
      <c r="B467" s="4"/>
      <c r="C467" s="4"/>
      <c r="D467" s="4"/>
      <c r="E467" s="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1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1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1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1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1"/>
    </row>
    <row r="468" spans="1:75" ht="15.75" customHeight="1" x14ac:dyDescent="0.2">
      <c r="A468" s="4"/>
      <c r="B468" s="4"/>
      <c r="C468" s="4"/>
      <c r="D468" s="4"/>
      <c r="E468" s="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1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1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1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1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1"/>
    </row>
    <row r="469" spans="1:75" ht="15.75" customHeight="1" x14ac:dyDescent="0.2">
      <c r="A469" s="4"/>
      <c r="B469" s="4"/>
      <c r="C469" s="4"/>
      <c r="D469" s="4"/>
      <c r="E469" s="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1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1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1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1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1"/>
    </row>
    <row r="470" spans="1:75" ht="15.75" customHeight="1" x14ac:dyDescent="0.2">
      <c r="A470" s="4"/>
      <c r="B470" s="4"/>
      <c r="C470" s="4"/>
      <c r="D470" s="4"/>
      <c r="E470" s="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1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1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1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1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1"/>
    </row>
    <row r="471" spans="1:75" ht="15.75" customHeight="1" x14ac:dyDescent="0.2">
      <c r="A471" s="4"/>
      <c r="B471" s="4"/>
      <c r="C471" s="4"/>
      <c r="D471" s="4"/>
      <c r="E471" s="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1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1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1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1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1"/>
    </row>
    <row r="472" spans="1:75" ht="15.75" customHeight="1" x14ac:dyDescent="0.2">
      <c r="A472" s="4"/>
      <c r="B472" s="4"/>
      <c r="C472" s="4"/>
      <c r="D472" s="4"/>
      <c r="E472" s="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1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1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1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1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1"/>
    </row>
    <row r="473" spans="1:75" ht="15.75" customHeight="1" x14ac:dyDescent="0.2">
      <c r="A473" s="4"/>
      <c r="B473" s="4"/>
      <c r="C473" s="4"/>
      <c r="D473" s="4"/>
      <c r="E473" s="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1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1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1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1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1"/>
    </row>
    <row r="474" spans="1:75" ht="15.75" customHeight="1" x14ac:dyDescent="0.2">
      <c r="A474" s="4"/>
      <c r="B474" s="4"/>
      <c r="C474" s="4"/>
      <c r="D474" s="4"/>
      <c r="E474" s="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1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1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1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1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1"/>
    </row>
    <row r="475" spans="1:75" ht="15.75" customHeight="1" x14ac:dyDescent="0.2">
      <c r="A475" s="4"/>
      <c r="B475" s="4"/>
      <c r="C475" s="4"/>
      <c r="D475" s="4"/>
      <c r="E475" s="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1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1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1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1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1"/>
    </row>
    <row r="476" spans="1:75" ht="15.75" customHeight="1" x14ac:dyDescent="0.2">
      <c r="A476" s="4"/>
      <c r="B476" s="4"/>
      <c r="C476" s="4"/>
      <c r="D476" s="4"/>
      <c r="E476" s="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1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1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1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1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1"/>
    </row>
    <row r="477" spans="1:75" ht="15.75" customHeight="1" x14ac:dyDescent="0.2">
      <c r="A477" s="4"/>
      <c r="B477" s="4"/>
      <c r="C477" s="4"/>
      <c r="D477" s="4"/>
      <c r="E477" s="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1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1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1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1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1"/>
    </row>
    <row r="478" spans="1:75" ht="15.75" customHeight="1" x14ac:dyDescent="0.2">
      <c r="A478" s="4"/>
      <c r="B478" s="4"/>
      <c r="C478" s="4"/>
      <c r="D478" s="4"/>
      <c r="E478" s="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1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1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1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1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1"/>
    </row>
    <row r="479" spans="1:75" ht="15.75" customHeight="1" x14ac:dyDescent="0.2">
      <c r="A479" s="4"/>
      <c r="B479" s="4"/>
      <c r="C479" s="4"/>
      <c r="D479" s="4"/>
      <c r="E479" s="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1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1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1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1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1"/>
    </row>
    <row r="480" spans="1:75" ht="15.75" customHeight="1" x14ac:dyDescent="0.2">
      <c r="A480" s="4"/>
      <c r="B480" s="4"/>
      <c r="C480" s="4"/>
      <c r="D480" s="4"/>
      <c r="E480" s="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1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1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1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1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1"/>
    </row>
    <row r="481" spans="1:75" ht="15.75" customHeight="1" x14ac:dyDescent="0.2">
      <c r="A481" s="4"/>
      <c r="B481" s="4"/>
      <c r="C481" s="4"/>
      <c r="D481" s="4"/>
      <c r="E481" s="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1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1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1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1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1"/>
    </row>
    <row r="482" spans="1:75" ht="15.75" customHeight="1" x14ac:dyDescent="0.2">
      <c r="A482" s="4"/>
      <c r="B482" s="4"/>
      <c r="C482" s="4"/>
      <c r="D482" s="4"/>
      <c r="E482" s="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1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1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1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1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1"/>
    </row>
    <row r="483" spans="1:75" ht="15.75" customHeight="1" x14ac:dyDescent="0.2">
      <c r="A483" s="4"/>
      <c r="B483" s="4"/>
      <c r="C483" s="4"/>
      <c r="D483" s="4"/>
      <c r="E483" s="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1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1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1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1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1"/>
    </row>
    <row r="484" spans="1:75" ht="15.75" customHeight="1" x14ac:dyDescent="0.2">
      <c r="A484" s="4"/>
      <c r="B484" s="4"/>
      <c r="C484" s="4"/>
      <c r="D484" s="4"/>
      <c r="E484" s="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1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1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1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1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1"/>
    </row>
    <row r="485" spans="1:75" ht="15.75" customHeight="1" x14ac:dyDescent="0.2">
      <c r="A485" s="4"/>
      <c r="B485" s="4"/>
      <c r="C485" s="4"/>
      <c r="D485" s="4"/>
      <c r="E485" s="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1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1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1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1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1"/>
    </row>
    <row r="486" spans="1:75" ht="15.75" customHeight="1" x14ac:dyDescent="0.2">
      <c r="A486" s="4"/>
      <c r="B486" s="4"/>
      <c r="C486" s="4"/>
      <c r="D486" s="4"/>
      <c r="E486" s="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1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1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1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1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1"/>
    </row>
    <row r="487" spans="1:75" ht="15.75" customHeight="1" x14ac:dyDescent="0.2">
      <c r="A487" s="4"/>
      <c r="B487" s="4"/>
      <c r="C487" s="4"/>
      <c r="D487" s="4"/>
      <c r="E487" s="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1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1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1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1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1"/>
    </row>
    <row r="488" spans="1:75" ht="15.75" customHeight="1" x14ac:dyDescent="0.2">
      <c r="A488" s="4"/>
      <c r="B488" s="4"/>
      <c r="C488" s="4"/>
      <c r="D488" s="4"/>
      <c r="E488" s="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1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1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1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1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1"/>
    </row>
    <row r="489" spans="1:75" ht="15.75" customHeight="1" x14ac:dyDescent="0.2">
      <c r="A489" s="4"/>
      <c r="B489" s="4"/>
      <c r="C489" s="4"/>
      <c r="D489" s="4"/>
      <c r="E489" s="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1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1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1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1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1"/>
    </row>
    <row r="490" spans="1:75" ht="15.75" customHeight="1" x14ac:dyDescent="0.2">
      <c r="A490" s="4"/>
      <c r="B490" s="4"/>
      <c r="C490" s="4"/>
      <c r="D490" s="4"/>
      <c r="E490" s="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1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1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1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1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1"/>
    </row>
    <row r="491" spans="1:75" ht="15.75" customHeight="1" x14ac:dyDescent="0.2">
      <c r="A491" s="4"/>
      <c r="B491" s="4"/>
      <c r="C491" s="4"/>
      <c r="D491" s="4"/>
      <c r="E491" s="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1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1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1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1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1"/>
    </row>
    <row r="492" spans="1:75" ht="15.75" customHeight="1" x14ac:dyDescent="0.2">
      <c r="A492" s="4"/>
      <c r="B492" s="4"/>
      <c r="C492" s="4"/>
      <c r="D492" s="4"/>
      <c r="E492" s="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1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1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1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1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1"/>
    </row>
    <row r="493" spans="1:75" ht="15.75" customHeight="1" x14ac:dyDescent="0.2">
      <c r="A493" s="4"/>
      <c r="B493" s="4"/>
      <c r="C493" s="4"/>
      <c r="D493" s="4"/>
      <c r="E493" s="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1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1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1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1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1"/>
    </row>
    <row r="494" spans="1:75" ht="15.75" customHeight="1" x14ac:dyDescent="0.2">
      <c r="A494" s="4"/>
      <c r="B494" s="4"/>
      <c r="C494" s="4"/>
      <c r="D494" s="4"/>
      <c r="E494" s="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1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1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1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1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1"/>
    </row>
    <row r="495" spans="1:75" ht="15.75" customHeight="1" x14ac:dyDescent="0.2">
      <c r="A495" s="4"/>
      <c r="B495" s="4"/>
      <c r="C495" s="4"/>
      <c r="D495" s="4"/>
      <c r="E495" s="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1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1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1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1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1"/>
    </row>
    <row r="496" spans="1:75" ht="15.75" customHeight="1" x14ac:dyDescent="0.2">
      <c r="A496" s="4"/>
      <c r="B496" s="4"/>
      <c r="C496" s="4"/>
      <c r="D496" s="4"/>
      <c r="E496" s="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1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1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1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1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1"/>
    </row>
    <row r="497" spans="1:75" ht="15.75" customHeight="1" x14ac:dyDescent="0.2">
      <c r="A497" s="4"/>
      <c r="B497" s="4"/>
      <c r="C497" s="4"/>
      <c r="D497" s="4"/>
      <c r="E497" s="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1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1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1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1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1"/>
    </row>
    <row r="498" spans="1:75" ht="15.75" customHeight="1" x14ac:dyDescent="0.2">
      <c r="A498" s="4"/>
      <c r="B498" s="4"/>
      <c r="C498" s="4"/>
      <c r="D498" s="4"/>
      <c r="E498" s="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1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1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1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1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1"/>
    </row>
    <row r="499" spans="1:75" ht="15.75" customHeight="1" x14ac:dyDescent="0.2">
      <c r="A499" s="4"/>
      <c r="B499" s="4"/>
      <c r="C499" s="4"/>
      <c r="D499" s="4"/>
      <c r="E499" s="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1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1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1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1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1"/>
    </row>
    <row r="500" spans="1:75" ht="15.75" customHeight="1" x14ac:dyDescent="0.2">
      <c r="A500" s="4"/>
      <c r="B500" s="4"/>
      <c r="C500" s="4"/>
      <c r="D500" s="4"/>
      <c r="E500" s="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1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1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1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1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1"/>
    </row>
    <row r="501" spans="1:75" ht="15.75" customHeight="1" x14ac:dyDescent="0.2">
      <c r="A501" s="4"/>
      <c r="B501" s="4"/>
      <c r="C501" s="4"/>
      <c r="D501" s="4"/>
      <c r="E501" s="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1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1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1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1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1"/>
    </row>
    <row r="502" spans="1:75" ht="15.75" customHeight="1" x14ac:dyDescent="0.2">
      <c r="A502" s="4"/>
      <c r="B502" s="4"/>
      <c r="C502" s="4"/>
      <c r="D502" s="4"/>
      <c r="E502" s="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1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1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1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1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1"/>
    </row>
    <row r="503" spans="1:75" ht="15.75" customHeight="1" x14ac:dyDescent="0.2">
      <c r="A503" s="4"/>
      <c r="B503" s="4"/>
      <c r="C503" s="4"/>
      <c r="D503" s="4"/>
      <c r="E503" s="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1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1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1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1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1"/>
    </row>
    <row r="504" spans="1:75" ht="15.75" customHeight="1" x14ac:dyDescent="0.2">
      <c r="A504" s="4"/>
      <c r="B504" s="4"/>
      <c r="C504" s="4"/>
      <c r="D504" s="4"/>
      <c r="E504" s="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1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1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1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1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1"/>
    </row>
    <row r="505" spans="1:75" ht="15.75" customHeight="1" x14ac:dyDescent="0.2">
      <c r="A505" s="4"/>
      <c r="B505" s="4"/>
      <c r="C505" s="4"/>
      <c r="D505" s="4"/>
      <c r="E505" s="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1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1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1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1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1"/>
    </row>
    <row r="506" spans="1:75" ht="15.75" customHeight="1" x14ac:dyDescent="0.2">
      <c r="A506" s="4"/>
      <c r="B506" s="4"/>
      <c r="C506" s="4"/>
      <c r="D506" s="4"/>
      <c r="E506" s="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1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1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1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1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1"/>
    </row>
    <row r="507" spans="1:75" ht="15.75" customHeight="1" x14ac:dyDescent="0.2">
      <c r="A507" s="4"/>
      <c r="B507" s="4"/>
      <c r="C507" s="4"/>
      <c r="D507" s="4"/>
      <c r="E507" s="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1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1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1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1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1"/>
    </row>
    <row r="508" spans="1:75" ht="15.75" customHeight="1" x14ac:dyDescent="0.2">
      <c r="A508" s="4"/>
      <c r="B508" s="4"/>
      <c r="C508" s="4"/>
      <c r="D508" s="4"/>
      <c r="E508" s="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1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1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1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1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1"/>
    </row>
    <row r="509" spans="1:75" ht="15.75" customHeight="1" x14ac:dyDescent="0.2">
      <c r="A509" s="4"/>
      <c r="B509" s="4"/>
      <c r="C509" s="4"/>
      <c r="D509" s="4"/>
      <c r="E509" s="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1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1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1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1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1"/>
    </row>
    <row r="510" spans="1:75" ht="15.75" customHeight="1" x14ac:dyDescent="0.2">
      <c r="A510" s="4"/>
      <c r="B510" s="4"/>
      <c r="C510" s="4"/>
      <c r="D510" s="4"/>
      <c r="E510" s="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1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1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1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1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1"/>
    </row>
    <row r="511" spans="1:75" ht="15.75" customHeight="1" x14ac:dyDescent="0.2">
      <c r="A511" s="4"/>
      <c r="B511" s="4"/>
      <c r="C511" s="4"/>
      <c r="D511" s="4"/>
      <c r="E511" s="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1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1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1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1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1"/>
    </row>
    <row r="512" spans="1:75" ht="15.75" customHeight="1" x14ac:dyDescent="0.2">
      <c r="A512" s="4"/>
      <c r="B512" s="4"/>
      <c r="C512" s="4"/>
      <c r="D512" s="4"/>
      <c r="E512" s="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1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1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1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1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1"/>
    </row>
    <row r="513" spans="1:75" ht="15.75" customHeight="1" x14ac:dyDescent="0.2">
      <c r="A513" s="4"/>
      <c r="B513" s="4"/>
      <c r="C513" s="4"/>
      <c r="D513" s="4"/>
      <c r="E513" s="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1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1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1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1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1"/>
    </row>
    <row r="514" spans="1:75" ht="15.75" customHeight="1" x14ac:dyDescent="0.2">
      <c r="A514" s="4"/>
      <c r="B514" s="4"/>
      <c r="C514" s="4"/>
      <c r="D514" s="4"/>
      <c r="E514" s="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1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1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1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1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1"/>
    </row>
    <row r="515" spans="1:75" ht="15.75" customHeight="1" x14ac:dyDescent="0.2">
      <c r="A515" s="4"/>
      <c r="B515" s="4"/>
      <c r="C515" s="4"/>
      <c r="D515" s="4"/>
      <c r="E515" s="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1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1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1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1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1"/>
    </row>
    <row r="516" spans="1:75" ht="15.75" customHeight="1" x14ac:dyDescent="0.2">
      <c r="A516" s="4"/>
      <c r="B516" s="4"/>
      <c r="C516" s="4"/>
      <c r="D516" s="4"/>
      <c r="E516" s="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1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1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1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1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1"/>
    </row>
    <row r="517" spans="1:75" ht="15.75" customHeight="1" x14ac:dyDescent="0.2">
      <c r="A517" s="4"/>
      <c r="B517" s="4"/>
      <c r="C517" s="4"/>
      <c r="D517" s="4"/>
      <c r="E517" s="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1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1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1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1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1"/>
    </row>
    <row r="518" spans="1:75" ht="15.75" customHeight="1" x14ac:dyDescent="0.2">
      <c r="A518" s="4"/>
      <c r="B518" s="4"/>
      <c r="C518" s="4"/>
      <c r="D518" s="4"/>
      <c r="E518" s="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1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1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1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1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1"/>
    </row>
    <row r="519" spans="1:75" ht="15.75" customHeight="1" x14ac:dyDescent="0.2">
      <c r="A519" s="4"/>
      <c r="B519" s="4"/>
      <c r="C519" s="4"/>
      <c r="D519" s="4"/>
      <c r="E519" s="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1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1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1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1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1"/>
    </row>
    <row r="520" spans="1:75" ht="15.75" customHeight="1" x14ac:dyDescent="0.2">
      <c r="A520" s="4"/>
      <c r="B520" s="4"/>
      <c r="C520" s="4"/>
      <c r="D520" s="4"/>
      <c r="E520" s="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1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1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1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1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1"/>
    </row>
    <row r="521" spans="1:75" ht="15.75" customHeight="1" x14ac:dyDescent="0.2">
      <c r="A521" s="4"/>
      <c r="B521" s="4"/>
      <c r="C521" s="4"/>
      <c r="D521" s="4"/>
      <c r="E521" s="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1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1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1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1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1"/>
    </row>
    <row r="522" spans="1:75" ht="15.75" customHeight="1" x14ac:dyDescent="0.2">
      <c r="A522" s="4"/>
      <c r="B522" s="4"/>
      <c r="C522" s="4"/>
      <c r="D522" s="4"/>
      <c r="E522" s="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1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1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1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1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1"/>
    </row>
    <row r="523" spans="1:75" ht="15.75" customHeight="1" x14ac:dyDescent="0.2">
      <c r="A523" s="4"/>
      <c r="B523" s="4"/>
      <c r="C523" s="4"/>
      <c r="D523" s="4"/>
      <c r="E523" s="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1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1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1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1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1"/>
    </row>
    <row r="524" spans="1:75" ht="15.75" customHeight="1" x14ac:dyDescent="0.2">
      <c r="A524" s="4"/>
      <c r="B524" s="4"/>
      <c r="C524" s="4"/>
      <c r="D524" s="4"/>
      <c r="E524" s="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1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1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1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1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1"/>
    </row>
    <row r="525" spans="1:75" ht="15.75" customHeight="1" x14ac:dyDescent="0.2">
      <c r="A525" s="4"/>
      <c r="B525" s="4"/>
      <c r="C525" s="4"/>
      <c r="D525" s="4"/>
      <c r="E525" s="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1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1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1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1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1"/>
    </row>
    <row r="526" spans="1:75" ht="15.75" customHeight="1" x14ac:dyDescent="0.2">
      <c r="A526" s="4"/>
      <c r="B526" s="4"/>
      <c r="C526" s="4"/>
      <c r="D526" s="4"/>
      <c r="E526" s="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1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1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1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1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1"/>
    </row>
    <row r="527" spans="1:75" ht="15.75" customHeight="1" x14ac:dyDescent="0.2">
      <c r="A527" s="4"/>
      <c r="B527" s="4"/>
      <c r="C527" s="4"/>
      <c r="D527" s="4"/>
      <c r="E527" s="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1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1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1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1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1"/>
    </row>
    <row r="528" spans="1:75" ht="15.75" customHeight="1" x14ac:dyDescent="0.2">
      <c r="A528" s="4"/>
      <c r="B528" s="4"/>
      <c r="C528" s="4"/>
      <c r="D528" s="4"/>
      <c r="E528" s="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1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1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1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1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1"/>
    </row>
    <row r="529" spans="1:75" ht="15.75" customHeight="1" x14ac:dyDescent="0.2">
      <c r="A529" s="4"/>
      <c r="B529" s="4"/>
      <c r="C529" s="4"/>
      <c r="D529" s="4"/>
      <c r="E529" s="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1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1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1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1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1"/>
    </row>
    <row r="530" spans="1:75" ht="15.75" customHeight="1" x14ac:dyDescent="0.2">
      <c r="A530" s="4"/>
      <c r="B530" s="4"/>
      <c r="C530" s="4"/>
      <c r="D530" s="4"/>
      <c r="E530" s="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1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1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1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1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1"/>
    </row>
    <row r="531" spans="1:75" ht="15.75" customHeight="1" x14ac:dyDescent="0.2">
      <c r="A531" s="4"/>
      <c r="B531" s="4"/>
      <c r="C531" s="4"/>
      <c r="D531" s="4"/>
      <c r="E531" s="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1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1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1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1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1"/>
    </row>
    <row r="532" spans="1:75" ht="15.75" customHeight="1" x14ac:dyDescent="0.2">
      <c r="A532" s="4"/>
      <c r="B532" s="4"/>
      <c r="C532" s="4"/>
      <c r="D532" s="4"/>
      <c r="E532" s="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1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1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1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1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1"/>
    </row>
    <row r="533" spans="1:75" ht="15.75" customHeight="1" x14ac:dyDescent="0.2">
      <c r="A533" s="4"/>
      <c r="B533" s="4"/>
      <c r="C533" s="4"/>
      <c r="D533" s="4"/>
      <c r="E533" s="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1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1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1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1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1"/>
    </row>
    <row r="534" spans="1:75" ht="15.75" customHeight="1" x14ac:dyDescent="0.2">
      <c r="A534" s="4"/>
      <c r="B534" s="4"/>
      <c r="C534" s="4"/>
      <c r="D534" s="4"/>
      <c r="E534" s="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1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1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1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1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1"/>
    </row>
    <row r="535" spans="1:75" ht="15.75" customHeight="1" x14ac:dyDescent="0.2">
      <c r="A535" s="4"/>
      <c r="B535" s="4"/>
      <c r="C535" s="4"/>
      <c r="D535" s="4"/>
      <c r="E535" s="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1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1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1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1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1"/>
    </row>
    <row r="536" spans="1:75" ht="15.75" customHeight="1" x14ac:dyDescent="0.2">
      <c r="A536" s="4"/>
      <c r="B536" s="4"/>
      <c r="C536" s="4"/>
      <c r="D536" s="4"/>
      <c r="E536" s="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1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1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1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1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1"/>
    </row>
    <row r="537" spans="1:75" ht="15.75" customHeight="1" x14ac:dyDescent="0.2">
      <c r="A537" s="4"/>
      <c r="B537" s="4"/>
      <c r="C537" s="4"/>
      <c r="D537" s="4"/>
      <c r="E537" s="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1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1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1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1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1"/>
    </row>
    <row r="538" spans="1:75" ht="15.75" customHeight="1" x14ac:dyDescent="0.2">
      <c r="A538" s="4"/>
      <c r="B538" s="4"/>
      <c r="C538" s="4"/>
      <c r="D538" s="4"/>
      <c r="E538" s="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1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1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1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1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1"/>
    </row>
    <row r="539" spans="1:75" ht="15.75" customHeight="1" x14ac:dyDescent="0.2">
      <c r="A539" s="4"/>
      <c r="B539" s="4"/>
      <c r="C539" s="4"/>
      <c r="D539" s="4"/>
      <c r="E539" s="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1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1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1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1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1"/>
    </row>
    <row r="540" spans="1:75" ht="15.75" customHeight="1" x14ac:dyDescent="0.2">
      <c r="A540" s="4"/>
      <c r="B540" s="4"/>
      <c r="C540" s="4"/>
      <c r="D540" s="4"/>
      <c r="E540" s="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1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1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1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1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1"/>
    </row>
    <row r="541" spans="1:75" ht="15.75" customHeight="1" x14ac:dyDescent="0.2">
      <c r="A541" s="4"/>
      <c r="B541" s="4"/>
      <c r="C541" s="4"/>
      <c r="D541" s="4"/>
      <c r="E541" s="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1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1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1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1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1"/>
    </row>
    <row r="542" spans="1:75" ht="15.75" customHeight="1" x14ac:dyDescent="0.2">
      <c r="A542" s="4"/>
      <c r="B542" s="4"/>
      <c r="C542" s="4"/>
      <c r="D542" s="4"/>
      <c r="E542" s="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1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1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1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1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1"/>
    </row>
    <row r="543" spans="1:75" ht="15.75" customHeight="1" x14ac:dyDescent="0.2">
      <c r="A543" s="4"/>
      <c r="B543" s="4"/>
      <c r="C543" s="4"/>
      <c r="D543" s="4"/>
      <c r="E543" s="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1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1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1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1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1"/>
    </row>
    <row r="544" spans="1:75" ht="15.75" customHeight="1" x14ac:dyDescent="0.2">
      <c r="A544" s="4"/>
      <c r="B544" s="4"/>
      <c r="C544" s="4"/>
      <c r="D544" s="4"/>
      <c r="E544" s="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1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1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1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1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1"/>
    </row>
    <row r="545" spans="1:75" ht="15.75" customHeight="1" x14ac:dyDescent="0.2">
      <c r="A545" s="4"/>
      <c r="B545" s="4"/>
      <c r="C545" s="4"/>
      <c r="D545" s="4"/>
      <c r="E545" s="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1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1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1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1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1"/>
    </row>
    <row r="546" spans="1:75" ht="15.75" customHeight="1" x14ac:dyDescent="0.2">
      <c r="A546" s="4"/>
      <c r="B546" s="4"/>
      <c r="C546" s="4"/>
      <c r="D546" s="4"/>
      <c r="E546" s="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1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1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1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1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1"/>
    </row>
    <row r="547" spans="1:75" ht="15.75" customHeight="1" x14ac:dyDescent="0.2">
      <c r="A547" s="4"/>
      <c r="B547" s="4"/>
      <c r="C547" s="4"/>
      <c r="D547" s="4"/>
      <c r="E547" s="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1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1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1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1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1"/>
    </row>
    <row r="548" spans="1:75" ht="15.75" customHeight="1" x14ac:dyDescent="0.2">
      <c r="A548" s="4"/>
      <c r="B548" s="4"/>
      <c r="C548" s="4"/>
      <c r="D548" s="4"/>
      <c r="E548" s="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1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1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1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1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1"/>
    </row>
    <row r="549" spans="1:75" ht="15.75" customHeight="1" x14ac:dyDescent="0.2">
      <c r="A549" s="4"/>
      <c r="B549" s="4"/>
      <c r="C549" s="4"/>
      <c r="D549" s="4"/>
      <c r="E549" s="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1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1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1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1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1"/>
    </row>
    <row r="550" spans="1:75" ht="15.75" customHeight="1" x14ac:dyDescent="0.2">
      <c r="A550" s="4"/>
      <c r="B550" s="4"/>
      <c r="C550" s="4"/>
      <c r="D550" s="4"/>
      <c r="E550" s="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1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1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1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1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1"/>
    </row>
    <row r="551" spans="1:75" ht="15.75" customHeight="1" x14ac:dyDescent="0.2">
      <c r="A551" s="4"/>
      <c r="B551" s="4"/>
      <c r="C551" s="4"/>
      <c r="D551" s="4"/>
      <c r="E551" s="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1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1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1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1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1"/>
    </row>
    <row r="552" spans="1:75" ht="15.75" customHeight="1" x14ac:dyDescent="0.2">
      <c r="A552" s="4"/>
      <c r="B552" s="4"/>
      <c r="C552" s="4"/>
      <c r="D552" s="4"/>
      <c r="E552" s="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1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1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1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1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1"/>
    </row>
    <row r="553" spans="1:75" ht="15.75" customHeight="1" x14ac:dyDescent="0.2">
      <c r="A553" s="4"/>
      <c r="B553" s="4"/>
      <c r="C553" s="4"/>
      <c r="D553" s="4"/>
      <c r="E553" s="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1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1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1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1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1"/>
    </row>
    <row r="554" spans="1:75" ht="15.75" customHeight="1" x14ac:dyDescent="0.2">
      <c r="A554" s="4"/>
      <c r="B554" s="4"/>
      <c r="C554" s="4"/>
      <c r="D554" s="4"/>
      <c r="E554" s="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1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1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1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1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1"/>
    </row>
    <row r="555" spans="1:75" ht="15.75" customHeight="1" x14ac:dyDescent="0.2">
      <c r="A555" s="4"/>
      <c r="B555" s="4"/>
      <c r="C555" s="4"/>
      <c r="D555" s="4"/>
      <c r="E555" s="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1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1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1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1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1"/>
    </row>
    <row r="556" spans="1:75" ht="15.75" customHeight="1" x14ac:dyDescent="0.2">
      <c r="A556" s="4"/>
      <c r="B556" s="4"/>
      <c r="C556" s="4"/>
      <c r="D556" s="4"/>
      <c r="E556" s="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1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1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1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1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1"/>
    </row>
    <row r="557" spans="1:75" ht="15.75" customHeight="1" x14ac:dyDescent="0.2">
      <c r="A557" s="4"/>
      <c r="B557" s="4"/>
      <c r="C557" s="4"/>
      <c r="D557" s="4"/>
      <c r="E557" s="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1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1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1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1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1"/>
    </row>
    <row r="558" spans="1:75" ht="15.75" customHeight="1" x14ac:dyDescent="0.2">
      <c r="A558" s="4"/>
      <c r="B558" s="4"/>
      <c r="C558" s="4"/>
      <c r="D558" s="4"/>
      <c r="E558" s="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1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1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1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1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1"/>
    </row>
    <row r="559" spans="1:75" ht="15.75" customHeight="1" x14ac:dyDescent="0.2">
      <c r="A559" s="4"/>
      <c r="B559" s="4"/>
      <c r="C559" s="4"/>
      <c r="D559" s="4"/>
      <c r="E559" s="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1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1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1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1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1"/>
    </row>
    <row r="560" spans="1:75" ht="15.75" customHeight="1" x14ac:dyDescent="0.2">
      <c r="A560" s="4"/>
      <c r="B560" s="4"/>
      <c r="C560" s="4"/>
      <c r="D560" s="4"/>
      <c r="E560" s="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1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1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1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1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1"/>
    </row>
    <row r="561" spans="1:75" ht="15.75" customHeight="1" x14ac:dyDescent="0.2">
      <c r="A561" s="4"/>
      <c r="B561" s="4"/>
      <c r="C561" s="4"/>
      <c r="D561" s="4"/>
      <c r="E561" s="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1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1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1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1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1"/>
    </row>
    <row r="562" spans="1:75" ht="15.75" customHeight="1" x14ac:dyDescent="0.2">
      <c r="A562" s="4"/>
      <c r="B562" s="4"/>
      <c r="C562" s="4"/>
      <c r="D562" s="4"/>
      <c r="E562" s="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1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1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1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1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1"/>
    </row>
    <row r="563" spans="1:75" ht="15.75" customHeight="1" x14ac:dyDescent="0.2">
      <c r="A563" s="4"/>
      <c r="B563" s="4"/>
      <c r="C563" s="4"/>
      <c r="D563" s="4"/>
      <c r="E563" s="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1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1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1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1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1"/>
    </row>
    <row r="564" spans="1:75" ht="15.75" customHeight="1" x14ac:dyDescent="0.2">
      <c r="A564" s="4"/>
      <c r="B564" s="4"/>
      <c r="C564" s="4"/>
      <c r="D564" s="4"/>
      <c r="E564" s="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1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1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1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1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1"/>
    </row>
    <row r="565" spans="1:75" ht="15.75" customHeight="1" x14ac:dyDescent="0.2">
      <c r="A565" s="4"/>
      <c r="B565" s="4"/>
      <c r="C565" s="4"/>
      <c r="D565" s="4"/>
      <c r="E565" s="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1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1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1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1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1"/>
    </row>
    <row r="566" spans="1:75" ht="15.75" customHeight="1" x14ac:dyDescent="0.2">
      <c r="A566" s="4"/>
      <c r="B566" s="4"/>
      <c r="C566" s="4"/>
      <c r="D566" s="4"/>
      <c r="E566" s="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1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1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1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1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1"/>
    </row>
    <row r="567" spans="1:75" ht="15.75" customHeight="1" x14ac:dyDescent="0.2">
      <c r="A567" s="4"/>
      <c r="B567" s="4"/>
      <c r="C567" s="4"/>
      <c r="D567" s="4"/>
      <c r="E567" s="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1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1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1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1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1"/>
    </row>
    <row r="568" spans="1:75" ht="15.75" customHeight="1" x14ac:dyDescent="0.2">
      <c r="A568" s="4"/>
      <c r="B568" s="4"/>
      <c r="C568" s="4"/>
      <c r="D568" s="4"/>
      <c r="E568" s="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1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1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1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1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1"/>
    </row>
    <row r="569" spans="1:75" ht="15.75" customHeight="1" x14ac:dyDescent="0.2">
      <c r="A569" s="4"/>
      <c r="B569" s="4"/>
      <c r="C569" s="4"/>
      <c r="D569" s="4"/>
      <c r="E569" s="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1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1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1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1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1"/>
    </row>
    <row r="570" spans="1:75" ht="15.75" customHeight="1" x14ac:dyDescent="0.2">
      <c r="A570" s="4"/>
      <c r="B570" s="4"/>
      <c r="C570" s="4"/>
      <c r="D570" s="4"/>
      <c r="E570" s="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1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1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1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1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1"/>
    </row>
    <row r="571" spans="1:75" ht="15.75" customHeight="1" x14ac:dyDescent="0.2">
      <c r="A571" s="4"/>
      <c r="B571" s="4"/>
      <c r="C571" s="4"/>
      <c r="D571" s="4"/>
      <c r="E571" s="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1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1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1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1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1"/>
    </row>
    <row r="572" spans="1:75" ht="15.75" customHeight="1" x14ac:dyDescent="0.2">
      <c r="A572" s="4"/>
      <c r="B572" s="4"/>
      <c r="C572" s="4"/>
      <c r="D572" s="4"/>
      <c r="E572" s="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1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1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1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1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1"/>
    </row>
    <row r="573" spans="1:75" ht="15.75" customHeight="1" x14ac:dyDescent="0.2">
      <c r="A573" s="4"/>
      <c r="B573" s="4"/>
      <c r="C573" s="4"/>
      <c r="D573" s="4"/>
      <c r="E573" s="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1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1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1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1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1"/>
    </row>
    <row r="574" spans="1:75" ht="15.75" customHeight="1" x14ac:dyDescent="0.2">
      <c r="A574" s="4"/>
      <c r="B574" s="4"/>
      <c r="C574" s="4"/>
      <c r="D574" s="4"/>
      <c r="E574" s="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1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1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1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1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1"/>
    </row>
    <row r="575" spans="1:75" ht="15.75" customHeight="1" x14ac:dyDescent="0.2">
      <c r="A575" s="4"/>
      <c r="B575" s="4"/>
      <c r="C575" s="4"/>
      <c r="D575" s="4"/>
      <c r="E575" s="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1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1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1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1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1"/>
    </row>
    <row r="576" spans="1:75" ht="15.75" customHeight="1" x14ac:dyDescent="0.2">
      <c r="A576" s="4"/>
      <c r="B576" s="4"/>
      <c r="C576" s="4"/>
      <c r="D576" s="4"/>
      <c r="E576" s="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1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1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1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1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1"/>
    </row>
    <row r="577" spans="1:75" ht="15.75" customHeight="1" x14ac:dyDescent="0.2">
      <c r="A577" s="4"/>
      <c r="B577" s="4"/>
      <c r="C577" s="4"/>
      <c r="D577" s="4"/>
      <c r="E577" s="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1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1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1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1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1"/>
    </row>
    <row r="578" spans="1:75" ht="15.75" customHeight="1" x14ac:dyDescent="0.2">
      <c r="A578" s="4"/>
      <c r="B578" s="4"/>
      <c r="C578" s="4"/>
      <c r="D578" s="4"/>
      <c r="E578" s="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1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1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1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1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1"/>
    </row>
    <row r="579" spans="1:75" ht="15.75" customHeight="1" x14ac:dyDescent="0.2">
      <c r="A579" s="4"/>
      <c r="B579" s="4"/>
      <c r="C579" s="4"/>
      <c r="D579" s="4"/>
      <c r="E579" s="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1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1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1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1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1"/>
    </row>
    <row r="580" spans="1:75" ht="15.75" customHeight="1" x14ac:dyDescent="0.2">
      <c r="A580" s="4"/>
      <c r="B580" s="4"/>
      <c r="C580" s="4"/>
      <c r="D580" s="4"/>
      <c r="E580" s="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1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1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1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1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1"/>
    </row>
    <row r="581" spans="1:75" ht="15.75" customHeight="1" x14ac:dyDescent="0.2">
      <c r="A581" s="4"/>
      <c r="B581" s="4"/>
      <c r="C581" s="4"/>
      <c r="D581" s="4"/>
      <c r="E581" s="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1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1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1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1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1"/>
    </row>
    <row r="582" spans="1:75" ht="15.75" customHeight="1" x14ac:dyDescent="0.2">
      <c r="A582" s="4"/>
      <c r="B582" s="4"/>
      <c r="C582" s="4"/>
      <c r="D582" s="4"/>
      <c r="E582" s="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1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1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1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1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1"/>
    </row>
    <row r="583" spans="1:75" ht="15.75" customHeight="1" x14ac:dyDescent="0.2">
      <c r="A583" s="4"/>
      <c r="B583" s="4"/>
      <c r="C583" s="4"/>
      <c r="D583" s="4"/>
      <c r="E583" s="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1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1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1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1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1"/>
    </row>
    <row r="584" spans="1:75" ht="15.75" customHeight="1" x14ac:dyDescent="0.2">
      <c r="A584" s="4"/>
      <c r="B584" s="4"/>
      <c r="C584" s="4"/>
      <c r="D584" s="4"/>
      <c r="E584" s="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1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1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1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1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1"/>
    </row>
    <row r="585" spans="1:75" ht="15.75" customHeight="1" x14ac:dyDescent="0.2">
      <c r="A585" s="4"/>
      <c r="B585" s="4"/>
      <c r="C585" s="4"/>
      <c r="D585" s="4"/>
      <c r="E585" s="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1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1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1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1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1"/>
    </row>
    <row r="586" spans="1:75" ht="15.75" customHeight="1" x14ac:dyDescent="0.2">
      <c r="A586" s="4"/>
      <c r="B586" s="4"/>
      <c r="C586" s="4"/>
      <c r="D586" s="4"/>
      <c r="E586" s="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1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1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1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1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1"/>
    </row>
    <row r="587" spans="1:75" ht="15.75" customHeight="1" x14ac:dyDescent="0.2">
      <c r="A587" s="4"/>
      <c r="B587" s="4"/>
      <c r="C587" s="4"/>
      <c r="D587" s="4"/>
      <c r="E587" s="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1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1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1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1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1"/>
    </row>
    <row r="588" spans="1:75" ht="15.75" customHeight="1" x14ac:dyDescent="0.2">
      <c r="A588" s="4"/>
      <c r="B588" s="4"/>
      <c r="C588" s="4"/>
      <c r="D588" s="4"/>
      <c r="E588" s="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1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1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1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1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1"/>
    </row>
    <row r="589" spans="1:75" ht="15.75" customHeight="1" x14ac:dyDescent="0.2">
      <c r="A589" s="4"/>
      <c r="B589" s="4"/>
      <c r="C589" s="4"/>
      <c r="D589" s="4"/>
      <c r="E589" s="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1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1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1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1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1"/>
    </row>
    <row r="590" spans="1:75" ht="15.75" customHeight="1" x14ac:dyDescent="0.2">
      <c r="A590" s="4"/>
      <c r="B590" s="4"/>
      <c r="C590" s="4"/>
      <c r="D590" s="4"/>
      <c r="E590" s="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1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1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1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1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1"/>
    </row>
    <row r="591" spans="1:75" ht="15.75" customHeight="1" x14ac:dyDescent="0.2">
      <c r="A591" s="4"/>
      <c r="B591" s="4"/>
      <c r="C591" s="4"/>
      <c r="D591" s="4"/>
      <c r="E591" s="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1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1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1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1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1"/>
    </row>
    <row r="592" spans="1:75" ht="15.75" customHeight="1" x14ac:dyDescent="0.2">
      <c r="A592" s="4"/>
      <c r="B592" s="4"/>
      <c r="C592" s="4"/>
      <c r="D592" s="4"/>
      <c r="E592" s="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1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1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1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1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1"/>
    </row>
    <row r="593" spans="1:75" ht="15.75" customHeight="1" x14ac:dyDescent="0.2">
      <c r="A593" s="4"/>
      <c r="B593" s="4"/>
      <c r="C593" s="4"/>
      <c r="D593" s="4"/>
      <c r="E593" s="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1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1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1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1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1"/>
    </row>
    <row r="594" spans="1:75" ht="15.75" customHeight="1" x14ac:dyDescent="0.2">
      <c r="A594" s="4"/>
      <c r="B594" s="4"/>
      <c r="C594" s="4"/>
      <c r="D594" s="4"/>
      <c r="E594" s="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1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1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1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1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1"/>
    </row>
    <row r="595" spans="1:75" ht="15.75" customHeight="1" x14ac:dyDescent="0.2">
      <c r="A595" s="4"/>
      <c r="B595" s="4"/>
      <c r="C595" s="4"/>
      <c r="D595" s="4"/>
      <c r="E595" s="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1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1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1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1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1"/>
    </row>
    <row r="596" spans="1:75" ht="15.75" customHeight="1" x14ac:dyDescent="0.2">
      <c r="A596" s="4"/>
      <c r="B596" s="4"/>
      <c r="C596" s="4"/>
      <c r="D596" s="4"/>
      <c r="E596" s="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1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1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1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1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1"/>
    </row>
    <row r="597" spans="1:75" ht="15.75" customHeight="1" x14ac:dyDescent="0.2">
      <c r="A597" s="4"/>
      <c r="B597" s="4"/>
      <c r="C597" s="4"/>
      <c r="D597" s="4"/>
      <c r="E597" s="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1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1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1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1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1"/>
    </row>
    <row r="598" spans="1:75" ht="15.75" customHeight="1" x14ac:dyDescent="0.2">
      <c r="A598" s="4"/>
      <c r="B598" s="4"/>
      <c r="C598" s="4"/>
      <c r="D598" s="4"/>
      <c r="E598" s="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1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1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1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1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1"/>
    </row>
    <row r="599" spans="1:75" ht="15.75" customHeight="1" x14ac:dyDescent="0.2">
      <c r="A599" s="4"/>
      <c r="B599" s="4"/>
      <c r="C599" s="4"/>
      <c r="D599" s="4"/>
      <c r="E599" s="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1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1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1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1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1"/>
    </row>
    <row r="600" spans="1:75" ht="15.75" customHeight="1" x14ac:dyDescent="0.2">
      <c r="A600" s="4"/>
      <c r="B600" s="4"/>
      <c r="C600" s="4"/>
      <c r="D600" s="4"/>
      <c r="E600" s="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1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1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1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1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1"/>
    </row>
    <row r="601" spans="1:75" ht="15.75" customHeight="1" x14ac:dyDescent="0.2">
      <c r="A601" s="4"/>
      <c r="B601" s="4"/>
      <c r="C601" s="4"/>
      <c r="D601" s="4"/>
      <c r="E601" s="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1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1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1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1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1"/>
    </row>
    <row r="602" spans="1:75" ht="15.75" customHeight="1" x14ac:dyDescent="0.2">
      <c r="A602" s="4"/>
      <c r="B602" s="4"/>
      <c r="C602" s="4"/>
      <c r="D602" s="4"/>
      <c r="E602" s="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1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1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1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1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1"/>
    </row>
    <row r="603" spans="1:75" ht="15.75" customHeight="1" x14ac:dyDescent="0.2">
      <c r="A603" s="4"/>
      <c r="B603" s="4"/>
      <c r="C603" s="4"/>
      <c r="D603" s="4"/>
      <c r="E603" s="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1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1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1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1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1"/>
    </row>
    <row r="604" spans="1:75" ht="15.75" customHeight="1" x14ac:dyDescent="0.2">
      <c r="A604" s="4"/>
      <c r="B604" s="4"/>
      <c r="C604" s="4"/>
      <c r="D604" s="4"/>
      <c r="E604" s="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1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1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1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1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1"/>
    </row>
    <row r="605" spans="1:75" ht="15.75" customHeight="1" x14ac:dyDescent="0.2">
      <c r="A605" s="4"/>
      <c r="B605" s="4"/>
      <c r="C605" s="4"/>
      <c r="D605" s="4"/>
      <c r="E605" s="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1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1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1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1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1"/>
    </row>
    <row r="606" spans="1:75" ht="15.75" customHeight="1" x14ac:dyDescent="0.2">
      <c r="A606" s="4"/>
      <c r="B606" s="4"/>
      <c r="C606" s="4"/>
      <c r="D606" s="4"/>
      <c r="E606" s="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1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1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1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1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1"/>
    </row>
    <row r="607" spans="1:75" ht="15.75" customHeight="1" x14ac:dyDescent="0.2">
      <c r="A607" s="4"/>
      <c r="B607" s="4"/>
      <c r="C607" s="4"/>
      <c r="D607" s="4"/>
      <c r="E607" s="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1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1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1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1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1"/>
    </row>
    <row r="608" spans="1:75" ht="15.75" customHeight="1" x14ac:dyDescent="0.2">
      <c r="A608" s="4"/>
      <c r="B608" s="4"/>
      <c r="C608" s="4"/>
      <c r="D608" s="4"/>
      <c r="E608" s="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1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1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1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1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1"/>
    </row>
    <row r="609" spans="1:75" ht="15.75" customHeight="1" x14ac:dyDescent="0.2">
      <c r="A609" s="4"/>
      <c r="B609" s="4"/>
      <c r="C609" s="4"/>
      <c r="D609" s="4"/>
      <c r="E609" s="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1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1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1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1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1"/>
    </row>
    <row r="610" spans="1:75" ht="15.75" customHeight="1" x14ac:dyDescent="0.2">
      <c r="A610" s="4"/>
      <c r="B610" s="4"/>
      <c r="C610" s="4"/>
      <c r="D610" s="4"/>
      <c r="E610" s="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1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1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1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1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1"/>
    </row>
    <row r="611" spans="1:75" ht="15.75" customHeight="1" x14ac:dyDescent="0.2">
      <c r="A611" s="4"/>
      <c r="B611" s="4"/>
      <c r="C611" s="4"/>
      <c r="D611" s="4"/>
      <c r="E611" s="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1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1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1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1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1"/>
    </row>
    <row r="612" spans="1:75" ht="15.75" customHeight="1" x14ac:dyDescent="0.2">
      <c r="A612" s="4"/>
      <c r="B612" s="4"/>
      <c r="C612" s="4"/>
      <c r="D612" s="4"/>
      <c r="E612" s="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1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1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1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1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1"/>
    </row>
    <row r="613" spans="1:75" ht="15.75" customHeight="1" x14ac:dyDescent="0.2">
      <c r="A613" s="4"/>
      <c r="B613" s="4"/>
      <c r="C613" s="4"/>
      <c r="D613" s="4"/>
      <c r="E613" s="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1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1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1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1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1"/>
    </row>
    <row r="614" spans="1:75" ht="15.75" customHeight="1" x14ac:dyDescent="0.2">
      <c r="A614" s="4"/>
      <c r="B614" s="4"/>
      <c r="C614" s="4"/>
      <c r="D614" s="4"/>
      <c r="E614" s="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1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1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1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1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1"/>
    </row>
    <row r="615" spans="1:75" ht="15.75" customHeight="1" x14ac:dyDescent="0.2">
      <c r="A615" s="4"/>
      <c r="B615" s="4"/>
      <c r="C615" s="4"/>
      <c r="D615" s="4"/>
      <c r="E615" s="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1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1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1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1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1"/>
    </row>
    <row r="616" spans="1:75" ht="15.75" customHeight="1" x14ac:dyDescent="0.2">
      <c r="A616" s="4"/>
      <c r="B616" s="4"/>
      <c r="C616" s="4"/>
      <c r="D616" s="4"/>
      <c r="E616" s="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1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1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1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1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1"/>
    </row>
    <row r="617" spans="1:75" ht="15.75" customHeight="1" x14ac:dyDescent="0.2">
      <c r="A617" s="4"/>
      <c r="B617" s="4"/>
      <c r="C617" s="4"/>
      <c r="D617" s="4"/>
      <c r="E617" s="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1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1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1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1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1"/>
    </row>
    <row r="618" spans="1:75" ht="15.75" customHeight="1" x14ac:dyDescent="0.2">
      <c r="A618" s="4"/>
      <c r="B618" s="4"/>
      <c r="C618" s="4"/>
      <c r="D618" s="4"/>
      <c r="E618" s="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1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1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1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1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1"/>
    </row>
    <row r="619" spans="1:75" ht="15.75" customHeight="1" x14ac:dyDescent="0.2">
      <c r="A619" s="4"/>
      <c r="B619" s="4"/>
      <c r="C619" s="4"/>
      <c r="D619" s="4"/>
      <c r="E619" s="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1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1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1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1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1"/>
    </row>
    <row r="620" spans="1:75" ht="15.75" customHeight="1" x14ac:dyDescent="0.2">
      <c r="A620" s="4"/>
      <c r="B620" s="4"/>
      <c r="C620" s="4"/>
      <c r="D620" s="4"/>
      <c r="E620" s="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1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1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1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1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1"/>
    </row>
    <row r="621" spans="1:75" ht="15.75" customHeight="1" x14ac:dyDescent="0.2">
      <c r="A621" s="4"/>
      <c r="B621" s="4"/>
      <c r="C621" s="4"/>
      <c r="D621" s="4"/>
      <c r="E621" s="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1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1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1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1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1"/>
    </row>
    <row r="622" spans="1:75" ht="15.75" customHeight="1" x14ac:dyDescent="0.2">
      <c r="A622" s="4"/>
      <c r="B622" s="4"/>
      <c r="C622" s="4"/>
      <c r="D622" s="4"/>
      <c r="E622" s="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1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1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1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1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1"/>
    </row>
    <row r="623" spans="1:75" ht="15.75" customHeight="1" x14ac:dyDescent="0.2">
      <c r="A623" s="4"/>
      <c r="B623" s="4"/>
      <c r="C623" s="4"/>
      <c r="D623" s="4"/>
      <c r="E623" s="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1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1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1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1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1"/>
    </row>
    <row r="624" spans="1:75" ht="15.75" customHeight="1" x14ac:dyDescent="0.2">
      <c r="A624" s="4"/>
      <c r="B624" s="4"/>
      <c r="C624" s="4"/>
      <c r="D624" s="4"/>
      <c r="E624" s="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1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1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1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1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1"/>
    </row>
    <row r="625" spans="1:75" ht="15.75" customHeight="1" x14ac:dyDescent="0.2">
      <c r="A625" s="4"/>
      <c r="B625" s="4"/>
      <c r="C625" s="4"/>
      <c r="D625" s="4"/>
      <c r="E625" s="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1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1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1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1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1"/>
    </row>
    <row r="626" spans="1:75" ht="15.75" customHeight="1" x14ac:dyDescent="0.2">
      <c r="A626" s="4"/>
      <c r="B626" s="4"/>
      <c r="C626" s="4"/>
      <c r="D626" s="4"/>
      <c r="E626" s="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1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1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1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1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1"/>
    </row>
    <row r="627" spans="1:75" ht="15.75" customHeight="1" x14ac:dyDescent="0.2">
      <c r="A627" s="4"/>
      <c r="B627" s="4"/>
      <c r="C627" s="4"/>
      <c r="D627" s="4"/>
      <c r="E627" s="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1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1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1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1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1"/>
    </row>
    <row r="628" spans="1:75" ht="15.75" customHeight="1" x14ac:dyDescent="0.2">
      <c r="A628" s="4"/>
      <c r="B628" s="4"/>
      <c r="C628" s="4"/>
      <c r="D628" s="4"/>
      <c r="E628" s="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1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1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1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1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1"/>
    </row>
    <row r="629" spans="1:75" ht="15.75" customHeight="1" x14ac:dyDescent="0.2">
      <c r="A629" s="4"/>
      <c r="B629" s="4"/>
      <c r="C629" s="4"/>
      <c r="D629" s="4"/>
      <c r="E629" s="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1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1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1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1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1"/>
    </row>
    <row r="630" spans="1:75" ht="15.75" customHeight="1" x14ac:dyDescent="0.2">
      <c r="A630" s="4"/>
      <c r="B630" s="4"/>
      <c r="C630" s="4"/>
      <c r="D630" s="4"/>
      <c r="E630" s="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1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1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1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1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1"/>
    </row>
    <row r="631" spans="1:75" ht="15.75" customHeight="1" x14ac:dyDescent="0.2">
      <c r="A631" s="4"/>
      <c r="B631" s="4"/>
      <c r="C631" s="4"/>
      <c r="D631" s="4"/>
      <c r="E631" s="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1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1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1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1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1"/>
    </row>
    <row r="632" spans="1:75" ht="15.75" customHeight="1" x14ac:dyDescent="0.2">
      <c r="A632" s="4"/>
      <c r="B632" s="4"/>
      <c r="C632" s="4"/>
      <c r="D632" s="4"/>
      <c r="E632" s="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1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1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1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1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1"/>
    </row>
    <row r="633" spans="1:75" ht="15.75" customHeight="1" x14ac:dyDescent="0.2">
      <c r="A633" s="4"/>
      <c r="B633" s="4"/>
      <c r="C633" s="4"/>
      <c r="D633" s="4"/>
      <c r="E633" s="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1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1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1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1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1"/>
    </row>
    <row r="634" spans="1:75" ht="15.75" customHeight="1" x14ac:dyDescent="0.2">
      <c r="A634" s="4"/>
      <c r="B634" s="4"/>
      <c r="C634" s="4"/>
      <c r="D634" s="4"/>
      <c r="E634" s="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1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1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1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1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1"/>
    </row>
    <row r="635" spans="1:75" ht="15.75" customHeight="1" x14ac:dyDescent="0.2">
      <c r="A635" s="4"/>
      <c r="B635" s="4"/>
      <c r="C635" s="4"/>
      <c r="D635" s="4"/>
      <c r="E635" s="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1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1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1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1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1"/>
    </row>
    <row r="636" spans="1:75" ht="15.75" customHeight="1" x14ac:dyDescent="0.2">
      <c r="A636" s="4"/>
      <c r="B636" s="4"/>
      <c r="C636" s="4"/>
      <c r="D636" s="4"/>
      <c r="E636" s="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1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1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1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1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1"/>
    </row>
    <row r="637" spans="1:75" ht="15.75" customHeight="1" x14ac:dyDescent="0.2">
      <c r="A637" s="4"/>
      <c r="B637" s="4"/>
      <c r="C637" s="4"/>
      <c r="D637" s="4"/>
      <c r="E637" s="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1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1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1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1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1"/>
    </row>
    <row r="638" spans="1:75" ht="15.75" customHeight="1" x14ac:dyDescent="0.2">
      <c r="A638" s="4"/>
      <c r="B638" s="4"/>
      <c r="C638" s="4"/>
      <c r="D638" s="4"/>
      <c r="E638" s="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1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1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1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1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1"/>
    </row>
    <row r="639" spans="1:75" ht="15.75" customHeight="1" x14ac:dyDescent="0.2">
      <c r="A639" s="4"/>
      <c r="B639" s="4"/>
      <c r="C639" s="4"/>
      <c r="D639" s="4"/>
      <c r="E639" s="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1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1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1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1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1"/>
    </row>
    <row r="640" spans="1:75" ht="15.75" customHeight="1" x14ac:dyDescent="0.2">
      <c r="A640" s="4"/>
      <c r="B640" s="4"/>
      <c r="C640" s="4"/>
      <c r="D640" s="4"/>
      <c r="E640" s="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1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1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1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1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1"/>
    </row>
    <row r="641" spans="1:75" ht="15.75" customHeight="1" x14ac:dyDescent="0.2">
      <c r="A641" s="4"/>
      <c r="B641" s="4"/>
      <c r="C641" s="4"/>
      <c r="D641" s="4"/>
      <c r="E641" s="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1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1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1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1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1"/>
    </row>
    <row r="642" spans="1:75" ht="15.75" customHeight="1" x14ac:dyDescent="0.2">
      <c r="A642" s="4"/>
      <c r="B642" s="4"/>
      <c r="C642" s="4"/>
      <c r="D642" s="4"/>
      <c r="E642" s="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1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1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1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1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1"/>
    </row>
    <row r="643" spans="1:75" ht="15.75" customHeight="1" x14ac:dyDescent="0.2">
      <c r="A643" s="4"/>
      <c r="B643" s="4"/>
      <c r="C643" s="4"/>
      <c r="D643" s="4"/>
      <c r="E643" s="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1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1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1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1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1"/>
    </row>
    <row r="644" spans="1:75" ht="15.75" customHeight="1" x14ac:dyDescent="0.2">
      <c r="A644" s="4"/>
      <c r="B644" s="4"/>
      <c r="C644" s="4"/>
      <c r="D644" s="4"/>
      <c r="E644" s="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1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1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1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1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1"/>
    </row>
    <row r="645" spans="1:75" ht="15.75" customHeight="1" x14ac:dyDescent="0.2">
      <c r="A645" s="4"/>
      <c r="B645" s="4"/>
      <c r="C645" s="4"/>
      <c r="D645" s="4"/>
      <c r="E645" s="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1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1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1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1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1"/>
    </row>
    <row r="646" spans="1:75" ht="15.75" customHeight="1" x14ac:dyDescent="0.2">
      <c r="A646" s="4"/>
      <c r="B646" s="4"/>
      <c r="C646" s="4"/>
      <c r="D646" s="4"/>
      <c r="E646" s="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1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1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1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1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1"/>
    </row>
    <row r="647" spans="1:75" ht="15.75" customHeight="1" x14ac:dyDescent="0.2">
      <c r="A647" s="4"/>
      <c r="B647" s="4"/>
      <c r="C647" s="4"/>
      <c r="D647" s="4"/>
      <c r="E647" s="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1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1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1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1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1"/>
    </row>
    <row r="648" spans="1:75" ht="15.75" customHeight="1" x14ac:dyDescent="0.2">
      <c r="A648" s="4"/>
      <c r="B648" s="4"/>
      <c r="C648" s="4"/>
      <c r="D648" s="4"/>
      <c r="E648" s="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1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1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1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1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1"/>
    </row>
    <row r="649" spans="1:75" ht="15.75" customHeight="1" x14ac:dyDescent="0.2">
      <c r="A649" s="4"/>
      <c r="B649" s="4"/>
      <c r="C649" s="4"/>
      <c r="D649" s="4"/>
      <c r="E649" s="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1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1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1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1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1"/>
    </row>
    <row r="650" spans="1:75" ht="15.75" customHeight="1" x14ac:dyDescent="0.2">
      <c r="A650" s="4"/>
      <c r="B650" s="4"/>
      <c r="C650" s="4"/>
      <c r="D650" s="4"/>
      <c r="E650" s="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1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1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1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1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1"/>
    </row>
    <row r="651" spans="1:75" ht="15.75" customHeight="1" x14ac:dyDescent="0.2">
      <c r="A651" s="4"/>
      <c r="B651" s="4"/>
      <c r="C651" s="4"/>
      <c r="D651" s="4"/>
      <c r="E651" s="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1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1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1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1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1"/>
    </row>
    <row r="652" spans="1:75" ht="15.75" customHeight="1" x14ac:dyDescent="0.2">
      <c r="A652" s="4"/>
      <c r="B652" s="4"/>
      <c r="C652" s="4"/>
      <c r="D652" s="4"/>
      <c r="E652" s="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1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1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1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1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1"/>
    </row>
    <row r="653" spans="1:75" ht="15.75" customHeight="1" x14ac:dyDescent="0.2">
      <c r="A653" s="4"/>
      <c r="B653" s="4"/>
      <c r="C653" s="4"/>
      <c r="D653" s="4"/>
      <c r="E653" s="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1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1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1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1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1"/>
    </row>
    <row r="654" spans="1:75" ht="15.75" customHeight="1" x14ac:dyDescent="0.2">
      <c r="A654" s="4"/>
      <c r="B654" s="4"/>
      <c r="C654" s="4"/>
      <c r="D654" s="4"/>
      <c r="E654" s="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1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1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1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1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1"/>
    </row>
    <row r="655" spans="1:75" ht="15.75" customHeight="1" x14ac:dyDescent="0.2">
      <c r="A655" s="4"/>
      <c r="B655" s="4"/>
      <c r="C655" s="4"/>
      <c r="D655" s="4"/>
      <c r="E655" s="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1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1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1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1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1"/>
    </row>
    <row r="656" spans="1:75" ht="15.75" customHeight="1" x14ac:dyDescent="0.2">
      <c r="A656" s="4"/>
      <c r="B656" s="4"/>
      <c r="C656" s="4"/>
      <c r="D656" s="4"/>
      <c r="E656" s="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1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1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1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1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1"/>
    </row>
    <row r="657" spans="1:75" ht="15.75" customHeight="1" x14ac:dyDescent="0.2">
      <c r="A657" s="4"/>
      <c r="B657" s="4"/>
      <c r="C657" s="4"/>
      <c r="D657" s="4"/>
      <c r="E657" s="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1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1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1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1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1"/>
    </row>
    <row r="658" spans="1:75" ht="15.75" customHeight="1" x14ac:dyDescent="0.2">
      <c r="A658" s="4"/>
      <c r="B658" s="4"/>
      <c r="C658" s="4"/>
      <c r="D658" s="4"/>
      <c r="E658" s="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1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1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1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1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1"/>
    </row>
    <row r="659" spans="1:75" ht="15.75" customHeight="1" x14ac:dyDescent="0.2">
      <c r="A659" s="4"/>
      <c r="B659" s="4"/>
      <c r="C659" s="4"/>
      <c r="D659" s="4"/>
      <c r="E659" s="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1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1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1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1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1"/>
    </row>
    <row r="660" spans="1:75" ht="15.75" customHeight="1" x14ac:dyDescent="0.2">
      <c r="A660" s="4"/>
      <c r="B660" s="4"/>
      <c r="C660" s="4"/>
      <c r="D660" s="4"/>
      <c r="E660" s="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1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1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1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1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1"/>
    </row>
    <row r="661" spans="1:75" ht="15.75" customHeight="1" x14ac:dyDescent="0.2">
      <c r="A661" s="4"/>
      <c r="B661" s="4"/>
      <c r="C661" s="4"/>
      <c r="D661" s="4"/>
      <c r="E661" s="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1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1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1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1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1"/>
    </row>
    <row r="662" spans="1:75" ht="15.75" customHeight="1" x14ac:dyDescent="0.2">
      <c r="A662" s="4"/>
      <c r="B662" s="4"/>
      <c r="C662" s="4"/>
      <c r="D662" s="4"/>
      <c r="E662" s="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1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1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1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1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1"/>
    </row>
    <row r="663" spans="1:75" ht="15.75" customHeight="1" x14ac:dyDescent="0.2">
      <c r="A663" s="4"/>
      <c r="B663" s="4"/>
      <c r="C663" s="4"/>
      <c r="D663" s="4"/>
      <c r="E663" s="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1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1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1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1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1"/>
    </row>
    <row r="664" spans="1:75" ht="15.75" customHeight="1" x14ac:dyDescent="0.2">
      <c r="A664" s="4"/>
      <c r="B664" s="4"/>
      <c r="C664" s="4"/>
      <c r="D664" s="4"/>
      <c r="E664" s="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1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1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1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1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1"/>
    </row>
    <row r="665" spans="1:75" ht="15.75" customHeight="1" x14ac:dyDescent="0.2">
      <c r="A665" s="4"/>
      <c r="B665" s="4"/>
      <c r="C665" s="4"/>
      <c r="D665" s="4"/>
      <c r="E665" s="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1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1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1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1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1"/>
    </row>
    <row r="666" spans="1:75" ht="15.75" customHeight="1" x14ac:dyDescent="0.2">
      <c r="A666" s="4"/>
      <c r="B666" s="4"/>
      <c r="C666" s="4"/>
      <c r="D666" s="4"/>
      <c r="E666" s="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1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1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1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1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1"/>
    </row>
    <row r="667" spans="1:75" ht="15.75" customHeight="1" x14ac:dyDescent="0.2">
      <c r="A667" s="4"/>
      <c r="B667" s="4"/>
      <c r="C667" s="4"/>
      <c r="D667" s="4"/>
      <c r="E667" s="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1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1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1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1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1"/>
    </row>
    <row r="668" spans="1:75" ht="15.75" customHeight="1" x14ac:dyDescent="0.2">
      <c r="A668" s="4"/>
      <c r="B668" s="4"/>
      <c r="C668" s="4"/>
      <c r="D668" s="4"/>
      <c r="E668" s="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1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1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1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1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1"/>
    </row>
    <row r="669" spans="1:75" ht="15.75" customHeight="1" x14ac:dyDescent="0.2">
      <c r="A669" s="4"/>
      <c r="B669" s="4"/>
      <c r="C669" s="4"/>
      <c r="D669" s="4"/>
      <c r="E669" s="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1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1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1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1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1"/>
    </row>
    <row r="670" spans="1:75" ht="15.75" customHeight="1" x14ac:dyDescent="0.2">
      <c r="A670" s="4"/>
      <c r="B670" s="4"/>
      <c r="C670" s="4"/>
      <c r="D670" s="4"/>
      <c r="E670" s="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1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1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1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1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1"/>
    </row>
    <row r="671" spans="1:75" ht="15.75" customHeight="1" x14ac:dyDescent="0.2">
      <c r="A671" s="4"/>
      <c r="B671" s="4"/>
      <c r="C671" s="4"/>
      <c r="D671" s="4"/>
      <c r="E671" s="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1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1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1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1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1"/>
    </row>
    <row r="672" spans="1:75" ht="15.75" customHeight="1" x14ac:dyDescent="0.2">
      <c r="A672" s="4"/>
      <c r="B672" s="4"/>
      <c r="C672" s="4"/>
      <c r="D672" s="4"/>
      <c r="E672" s="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1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1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1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1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1"/>
    </row>
    <row r="673" spans="1:75" ht="15.75" customHeight="1" x14ac:dyDescent="0.2">
      <c r="A673" s="4"/>
      <c r="B673" s="4"/>
      <c r="C673" s="4"/>
      <c r="D673" s="4"/>
      <c r="E673" s="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1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1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1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1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1"/>
    </row>
    <row r="674" spans="1:75" ht="15.75" customHeight="1" x14ac:dyDescent="0.2">
      <c r="A674" s="4"/>
      <c r="B674" s="4"/>
      <c r="C674" s="4"/>
      <c r="D674" s="4"/>
      <c r="E674" s="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1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1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1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1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1"/>
    </row>
    <row r="675" spans="1:75" ht="15.75" customHeight="1" x14ac:dyDescent="0.2">
      <c r="A675" s="4"/>
      <c r="B675" s="4"/>
      <c r="C675" s="4"/>
      <c r="D675" s="4"/>
      <c r="E675" s="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1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1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1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1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1"/>
    </row>
    <row r="676" spans="1:75" ht="15.75" customHeight="1" x14ac:dyDescent="0.2">
      <c r="A676" s="4"/>
      <c r="B676" s="4"/>
      <c r="C676" s="4"/>
      <c r="D676" s="4"/>
      <c r="E676" s="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1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1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1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1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1"/>
    </row>
    <row r="677" spans="1:75" ht="15.75" customHeight="1" x14ac:dyDescent="0.2">
      <c r="A677" s="4"/>
      <c r="B677" s="4"/>
      <c r="C677" s="4"/>
      <c r="D677" s="4"/>
      <c r="E677" s="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1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1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1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1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1"/>
    </row>
    <row r="678" spans="1:75" ht="15.75" customHeight="1" x14ac:dyDescent="0.2">
      <c r="A678" s="4"/>
      <c r="B678" s="4"/>
      <c r="C678" s="4"/>
      <c r="D678" s="4"/>
      <c r="E678" s="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1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1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1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1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1"/>
    </row>
    <row r="679" spans="1:75" ht="15.75" customHeight="1" x14ac:dyDescent="0.2">
      <c r="A679" s="4"/>
      <c r="B679" s="4"/>
      <c r="C679" s="4"/>
      <c r="D679" s="4"/>
      <c r="E679" s="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1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1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1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1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1"/>
    </row>
    <row r="680" spans="1:75" ht="15.75" customHeight="1" x14ac:dyDescent="0.2">
      <c r="A680" s="4"/>
      <c r="B680" s="4"/>
      <c r="C680" s="4"/>
      <c r="D680" s="4"/>
      <c r="E680" s="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1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1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1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1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1"/>
    </row>
    <row r="681" spans="1:75" ht="15.75" customHeight="1" x14ac:dyDescent="0.2">
      <c r="A681" s="4"/>
      <c r="B681" s="4"/>
      <c r="C681" s="4"/>
      <c r="D681" s="4"/>
      <c r="E681" s="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1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1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1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1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1"/>
    </row>
    <row r="682" spans="1:75" ht="15.75" customHeight="1" x14ac:dyDescent="0.2">
      <c r="A682" s="4"/>
      <c r="B682" s="4"/>
      <c r="C682" s="4"/>
      <c r="D682" s="4"/>
      <c r="E682" s="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1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1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1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1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1"/>
    </row>
    <row r="683" spans="1:75" ht="15.75" customHeight="1" x14ac:dyDescent="0.2">
      <c r="A683" s="4"/>
      <c r="B683" s="4"/>
      <c r="C683" s="4"/>
      <c r="D683" s="4"/>
      <c r="E683" s="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1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1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1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1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1"/>
    </row>
    <row r="684" spans="1:75" ht="15.75" customHeight="1" x14ac:dyDescent="0.2">
      <c r="A684" s="4"/>
      <c r="B684" s="4"/>
      <c r="C684" s="4"/>
      <c r="D684" s="4"/>
      <c r="E684" s="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1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1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1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1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1"/>
    </row>
    <row r="685" spans="1:75" ht="15.75" customHeight="1" x14ac:dyDescent="0.2">
      <c r="A685" s="4"/>
      <c r="B685" s="4"/>
      <c r="C685" s="4"/>
      <c r="D685" s="4"/>
      <c r="E685" s="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1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1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1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1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1"/>
    </row>
    <row r="686" spans="1:75" ht="15.75" customHeight="1" x14ac:dyDescent="0.2">
      <c r="A686" s="4"/>
      <c r="B686" s="4"/>
      <c r="C686" s="4"/>
      <c r="D686" s="4"/>
      <c r="E686" s="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1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1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1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1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1"/>
    </row>
    <row r="687" spans="1:75" ht="15.75" customHeight="1" x14ac:dyDescent="0.2">
      <c r="A687" s="4"/>
      <c r="B687" s="4"/>
      <c r="C687" s="4"/>
      <c r="D687" s="4"/>
      <c r="E687" s="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1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1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1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1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1"/>
    </row>
    <row r="688" spans="1:75" ht="15.75" customHeight="1" x14ac:dyDescent="0.2">
      <c r="A688" s="4"/>
      <c r="B688" s="4"/>
      <c r="C688" s="4"/>
      <c r="D688" s="4"/>
      <c r="E688" s="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1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1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1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1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1"/>
    </row>
    <row r="689" spans="1:75" ht="15.75" customHeight="1" x14ac:dyDescent="0.2">
      <c r="A689" s="4"/>
      <c r="B689" s="4"/>
      <c r="C689" s="4"/>
      <c r="D689" s="4"/>
      <c r="E689" s="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1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1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1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1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1"/>
    </row>
    <row r="690" spans="1:75" ht="15.75" customHeight="1" x14ac:dyDescent="0.2">
      <c r="A690" s="4"/>
      <c r="B690" s="4"/>
      <c r="C690" s="4"/>
      <c r="D690" s="4"/>
      <c r="E690" s="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1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1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1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1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1"/>
    </row>
    <row r="691" spans="1:75" ht="15.75" customHeight="1" x14ac:dyDescent="0.2">
      <c r="A691" s="4"/>
      <c r="B691" s="4"/>
      <c r="C691" s="4"/>
      <c r="D691" s="4"/>
      <c r="E691" s="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1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1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1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1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1"/>
    </row>
    <row r="692" spans="1:75" ht="15.75" customHeight="1" x14ac:dyDescent="0.2">
      <c r="A692" s="4"/>
      <c r="B692" s="4"/>
      <c r="C692" s="4"/>
      <c r="D692" s="4"/>
      <c r="E692" s="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1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1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1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1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1"/>
    </row>
    <row r="693" spans="1:75" ht="15.75" customHeight="1" x14ac:dyDescent="0.2">
      <c r="A693" s="4"/>
      <c r="B693" s="4"/>
      <c r="C693" s="4"/>
      <c r="D693" s="4"/>
      <c r="E693" s="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1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1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1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1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1"/>
    </row>
    <row r="694" spans="1:75" ht="15.75" customHeight="1" x14ac:dyDescent="0.2">
      <c r="A694" s="4"/>
      <c r="B694" s="4"/>
      <c r="C694" s="4"/>
      <c r="D694" s="4"/>
      <c r="E694" s="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1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1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1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1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1"/>
    </row>
    <row r="695" spans="1:75" ht="15.75" customHeight="1" x14ac:dyDescent="0.2">
      <c r="A695" s="4"/>
      <c r="B695" s="4"/>
      <c r="C695" s="4"/>
      <c r="D695" s="4"/>
      <c r="E695" s="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1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1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1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1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1"/>
    </row>
    <row r="696" spans="1:75" ht="15.75" customHeight="1" x14ac:dyDescent="0.2">
      <c r="A696" s="4"/>
      <c r="B696" s="4"/>
      <c r="C696" s="4"/>
      <c r="D696" s="4"/>
      <c r="E696" s="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1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1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1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1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1"/>
    </row>
    <row r="697" spans="1:75" ht="15.75" customHeight="1" x14ac:dyDescent="0.2">
      <c r="A697" s="4"/>
      <c r="B697" s="4"/>
      <c r="C697" s="4"/>
      <c r="D697" s="4"/>
      <c r="E697" s="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1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1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1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1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1"/>
    </row>
    <row r="698" spans="1:75" ht="15.75" customHeight="1" x14ac:dyDescent="0.2">
      <c r="A698" s="4"/>
      <c r="B698" s="4"/>
      <c r="C698" s="4"/>
      <c r="D698" s="4"/>
      <c r="E698" s="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1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1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1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1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1"/>
    </row>
    <row r="699" spans="1:75" ht="15.75" customHeight="1" x14ac:dyDescent="0.2">
      <c r="A699" s="4"/>
      <c r="B699" s="4"/>
      <c r="C699" s="4"/>
      <c r="D699" s="4"/>
      <c r="E699" s="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1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1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1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1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1"/>
    </row>
    <row r="700" spans="1:75" ht="15.75" customHeight="1" x14ac:dyDescent="0.2">
      <c r="A700" s="4"/>
      <c r="B700" s="4"/>
      <c r="C700" s="4"/>
      <c r="D700" s="4"/>
      <c r="E700" s="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1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1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1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1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1"/>
    </row>
    <row r="701" spans="1:75" ht="15.75" customHeight="1" x14ac:dyDescent="0.2">
      <c r="A701" s="4"/>
      <c r="B701" s="4"/>
      <c r="C701" s="4"/>
      <c r="D701" s="4"/>
      <c r="E701" s="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1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1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1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1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1"/>
    </row>
    <row r="702" spans="1:75" ht="15.75" customHeight="1" x14ac:dyDescent="0.2">
      <c r="A702" s="4"/>
      <c r="B702" s="4"/>
      <c r="C702" s="4"/>
      <c r="D702" s="4"/>
      <c r="E702" s="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1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1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1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1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1"/>
    </row>
    <row r="703" spans="1:75" ht="15.75" customHeight="1" x14ac:dyDescent="0.2">
      <c r="A703" s="4"/>
      <c r="B703" s="4"/>
      <c r="C703" s="4"/>
      <c r="D703" s="4"/>
      <c r="E703" s="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1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1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1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1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1"/>
    </row>
    <row r="704" spans="1:75" ht="15.75" customHeight="1" x14ac:dyDescent="0.2">
      <c r="A704" s="4"/>
      <c r="B704" s="4"/>
      <c r="C704" s="4"/>
      <c r="D704" s="4"/>
      <c r="E704" s="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1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1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1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1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1"/>
    </row>
    <row r="705" spans="1:75" ht="15.75" customHeight="1" x14ac:dyDescent="0.2">
      <c r="A705" s="4"/>
      <c r="B705" s="4"/>
      <c r="C705" s="4"/>
      <c r="D705" s="4"/>
      <c r="E705" s="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1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1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1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1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1"/>
    </row>
    <row r="706" spans="1:75" ht="15.75" customHeight="1" x14ac:dyDescent="0.2">
      <c r="A706" s="4"/>
      <c r="B706" s="4"/>
      <c r="C706" s="4"/>
      <c r="D706" s="4"/>
      <c r="E706" s="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1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1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1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1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1"/>
    </row>
    <row r="707" spans="1:75" ht="15.75" customHeight="1" x14ac:dyDescent="0.2">
      <c r="A707" s="4"/>
      <c r="B707" s="4"/>
      <c r="C707" s="4"/>
      <c r="D707" s="4"/>
      <c r="E707" s="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1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1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1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1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1"/>
    </row>
    <row r="708" spans="1:75" ht="15.75" customHeight="1" x14ac:dyDescent="0.2">
      <c r="A708" s="4"/>
      <c r="B708" s="4"/>
      <c r="C708" s="4"/>
      <c r="D708" s="4"/>
      <c r="E708" s="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1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1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1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1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1"/>
    </row>
    <row r="709" spans="1:75" ht="15.75" customHeight="1" x14ac:dyDescent="0.2">
      <c r="A709" s="4"/>
      <c r="B709" s="4"/>
      <c r="C709" s="4"/>
      <c r="D709" s="4"/>
      <c r="E709" s="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1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1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1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1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1"/>
    </row>
    <row r="710" spans="1:75" ht="15.75" customHeight="1" x14ac:dyDescent="0.2">
      <c r="A710" s="4"/>
      <c r="B710" s="4"/>
      <c r="C710" s="4"/>
      <c r="D710" s="4"/>
      <c r="E710" s="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1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1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1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1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1"/>
    </row>
    <row r="711" spans="1:75" ht="15.75" customHeight="1" x14ac:dyDescent="0.2">
      <c r="A711" s="4"/>
      <c r="B711" s="4"/>
      <c r="C711" s="4"/>
      <c r="D711" s="4"/>
      <c r="E711" s="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1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1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1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1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1"/>
    </row>
    <row r="712" spans="1:75" ht="15.75" customHeight="1" x14ac:dyDescent="0.2">
      <c r="A712" s="4"/>
      <c r="B712" s="4"/>
      <c r="C712" s="4"/>
      <c r="D712" s="4"/>
      <c r="E712" s="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1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1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1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1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1"/>
    </row>
    <row r="713" spans="1:75" ht="15.75" customHeight="1" x14ac:dyDescent="0.2">
      <c r="A713" s="4"/>
      <c r="B713" s="4"/>
      <c r="C713" s="4"/>
      <c r="D713" s="4"/>
      <c r="E713" s="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1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1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1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1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1"/>
    </row>
    <row r="714" spans="1:75" ht="15.75" customHeight="1" x14ac:dyDescent="0.2">
      <c r="A714" s="4"/>
      <c r="B714" s="4"/>
      <c r="C714" s="4"/>
      <c r="D714" s="4"/>
      <c r="E714" s="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1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1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1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1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1"/>
    </row>
    <row r="715" spans="1:75" ht="15.75" customHeight="1" x14ac:dyDescent="0.2">
      <c r="A715" s="4"/>
      <c r="B715" s="4"/>
      <c r="C715" s="4"/>
      <c r="D715" s="4"/>
      <c r="E715" s="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1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1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1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1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1"/>
    </row>
    <row r="716" spans="1:75" ht="15.75" customHeight="1" x14ac:dyDescent="0.2">
      <c r="A716" s="4"/>
      <c r="B716" s="4"/>
      <c r="C716" s="4"/>
      <c r="D716" s="4"/>
      <c r="E716" s="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1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1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1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1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1"/>
    </row>
    <row r="717" spans="1:75" ht="15.75" customHeight="1" x14ac:dyDescent="0.2">
      <c r="A717" s="4"/>
      <c r="B717" s="4"/>
      <c r="C717" s="4"/>
      <c r="D717" s="4"/>
      <c r="E717" s="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1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1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1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1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1"/>
    </row>
    <row r="718" spans="1:75" ht="15.75" customHeight="1" x14ac:dyDescent="0.2">
      <c r="A718" s="4"/>
      <c r="B718" s="4"/>
      <c r="C718" s="4"/>
      <c r="D718" s="4"/>
      <c r="E718" s="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1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1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1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1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1"/>
    </row>
    <row r="719" spans="1:75" ht="15.75" customHeight="1" x14ac:dyDescent="0.2">
      <c r="A719" s="4"/>
      <c r="B719" s="4"/>
      <c r="C719" s="4"/>
      <c r="D719" s="4"/>
      <c r="E719" s="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1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1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1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1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1"/>
    </row>
    <row r="720" spans="1:75" ht="15.75" customHeight="1" x14ac:dyDescent="0.2">
      <c r="A720" s="4"/>
      <c r="B720" s="4"/>
      <c r="C720" s="4"/>
      <c r="D720" s="4"/>
      <c r="E720" s="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1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1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1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1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1"/>
    </row>
    <row r="721" spans="1:75" ht="15.75" customHeight="1" x14ac:dyDescent="0.2">
      <c r="A721" s="4"/>
      <c r="B721" s="4"/>
      <c r="C721" s="4"/>
      <c r="D721" s="4"/>
      <c r="E721" s="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1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1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1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1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1"/>
    </row>
    <row r="722" spans="1:75" ht="15.75" customHeight="1" x14ac:dyDescent="0.2">
      <c r="A722" s="4"/>
      <c r="B722" s="4"/>
      <c r="C722" s="4"/>
      <c r="D722" s="4"/>
      <c r="E722" s="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1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1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1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1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1"/>
    </row>
    <row r="723" spans="1:75" ht="15.75" customHeight="1" x14ac:dyDescent="0.2">
      <c r="A723" s="4"/>
      <c r="B723" s="4"/>
      <c r="C723" s="4"/>
      <c r="D723" s="4"/>
      <c r="E723" s="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1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1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1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1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1"/>
    </row>
    <row r="724" spans="1:75" ht="15.75" customHeight="1" x14ac:dyDescent="0.2">
      <c r="A724" s="4"/>
      <c r="B724" s="4"/>
      <c r="C724" s="4"/>
      <c r="D724" s="4"/>
      <c r="E724" s="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1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1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1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1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1"/>
    </row>
    <row r="725" spans="1:75" ht="15.75" customHeight="1" x14ac:dyDescent="0.2">
      <c r="A725" s="4"/>
      <c r="B725" s="4"/>
      <c r="C725" s="4"/>
      <c r="D725" s="4"/>
      <c r="E725" s="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1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1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1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1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1"/>
    </row>
    <row r="726" spans="1:75" ht="15.75" customHeight="1" x14ac:dyDescent="0.2">
      <c r="A726" s="4"/>
      <c r="B726" s="4"/>
      <c r="C726" s="4"/>
      <c r="D726" s="4"/>
      <c r="E726" s="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1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1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1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1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1"/>
    </row>
    <row r="727" spans="1:75" ht="15.75" customHeight="1" x14ac:dyDescent="0.2">
      <c r="A727" s="4"/>
      <c r="B727" s="4"/>
      <c r="C727" s="4"/>
      <c r="D727" s="4"/>
      <c r="E727" s="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1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1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1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1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1"/>
    </row>
    <row r="728" spans="1:75" ht="15.75" customHeight="1" x14ac:dyDescent="0.2">
      <c r="A728" s="4"/>
      <c r="B728" s="4"/>
      <c r="C728" s="4"/>
      <c r="D728" s="4"/>
      <c r="E728" s="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1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1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1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1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1"/>
    </row>
    <row r="729" spans="1:75" ht="15.75" customHeight="1" x14ac:dyDescent="0.2">
      <c r="A729" s="4"/>
      <c r="B729" s="4"/>
      <c r="C729" s="4"/>
      <c r="D729" s="4"/>
      <c r="E729" s="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1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1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1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1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1"/>
    </row>
    <row r="730" spans="1:75" ht="15.75" customHeight="1" x14ac:dyDescent="0.2">
      <c r="A730" s="4"/>
      <c r="B730" s="4"/>
      <c r="C730" s="4"/>
      <c r="D730" s="4"/>
      <c r="E730" s="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1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1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1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1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1"/>
    </row>
    <row r="731" spans="1:75" ht="15.75" customHeight="1" x14ac:dyDescent="0.2">
      <c r="A731" s="4"/>
      <c r="B731" s="4"/>
      <c r="C731" s="4"/>
      <c r="D731" s="4"/>
      <c r="E731" s="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1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1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1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1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1"/>
    </row>
    <row r="732" spans="1:75" ht="15.75" customHeight="1" x14ac:dyDescent="0.2">
      <c r="A732" s="4"/>
      <c r="B732" s="4"/>
      <c r="C732" s="4"/>
      <c r="D732" s="4"/>
      <c r="E732" s="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1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1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1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1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1"/>
    </row>
    <row r="733" spans="1:75" ht="15.75" customHeight="1" x14ac:dyDescent="0.2">
      <c r="A733" s="4"/>
      <c r="B733" s="4"/>
      <c r="C733" s="4"/>
      <c r="D733" s="4"/>
      <c r="E733" s="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1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1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1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1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1"/>
    </row>
    <row r="734" spans="1:75" ht="15.75" customHeight="1" x14ac:dyDescent="0.2">
      <c r="A734" s="4"/>
      <c r="B734" s="4"/>
      <c r="C734" s="4"/>
      <c r="D734" s="4"/>
      <c r="E734" s="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1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1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1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1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1"/>
    </row>
    <row r="735" spans="1:75" ht="15.75" customHeight="1" x14ac:dyDescent="0.2">
      <c r="A735" s="4"/>
      <c r="B735" s="4"/>
      <c r="C735" s="4"/>
      <c r="D735" s="4"/>
      <c r="E735" s="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1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1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1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1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1"/>
    </row>
    <row r="736" spans="1:75" ht="15.75" customHeight="1" x14ac:dyDescent="0.2">
      <c r="A736" s="4"/>
      <c r="B736" s="4"/>
      <c r="C736" s="4"/>
      <c r="D736" s="4"/>
      <c r="E736" s="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1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1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1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1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1"/>
    </row>
    <row r="737" spans="1:75" ht="15.75" customHeight="1" x14ac:dyDescent="0.2">
      <c r="A737" s="4"/>
      <c r="B737" s="4"/>
      <c r="C737" s="4"/>
      <c r="D737" s="4"/>
      <c r="E737" s="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1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1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1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1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1"/>
    </row>
    <row r="738" spans="1:75" ht="15.75" customHeight="1" x14ac:dyDescent="0.2">
      <c r="A738" s="4"/>
      <c r="B738" s="4"/>
      <c r="C738" s="4"/>
      <c r="D738" s="4"/>
      <c r="E738" s="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1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1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1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1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1"/>
    </row>
    <row r="739" spans="1:75" ht="15.75" customHeight="1" x14ac:dyDescent="0.2">
      <c r="A739" s="4"/>
      <c r="B739" s="4"/>
      <c r="C739" s="4"/>
      <c r="D739" s="4"/>
      <c r="E739" s="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1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1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1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1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1"/>
    </row>
    <row r="740" spans="1:75" ht="15.75" customHeight="1" x14ac:dyDescent="0.2">
      <c r="A740" s="4"/>
      <c r="B740" s="4"/>
      <c r="C740" s="4"/>
      <c r="D740" s="4"/>
      <c r="E740" s="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1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1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1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1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1"/>
    </row>
    <row r="741" spans="1:75" ht="15.75" customHeight="1" x14ac:dyDescent="0.2">
      <c r="A741" s="4"/>
      <c r="B741" s="4"/>
      <c r="C741" s="4"/>
      <c r="D741" s="4"/>
      <c r="E741" s="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1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1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1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1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1"/>
    </row>
    <row r="742" spans="1:75" ht="15.75" customHeight="1" x14ac:dyDescent="0.2">
      <c r="A742" s="4"/>
      <c r="B742" s="4"/>
      <c r="C742" s="4"/>
      <c r="D742" s="4"/>
      <c r="E742" s="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1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1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1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1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1"/>
    </row>
    <row r="743" spans="1:75" ht="15.75" customHeight="1" x14ac:dyDescent="0.2">
      <c r="A743" s="4"/>
      <c r="B743" s="4"/>
      <c r="C743" s="4"/>
      <c r="D743" s="4"/>
      <c r="E743" s="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1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1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1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1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1"/>
    </row>
    <row r="744" spans="1:75" ht="15.75" customHeight="1" x14ac:dyDescent="0.2">
      <c r="A744" s="4"/>
      <c r="B744" s="4"/>
      <c r="C744" s="4"/>
      <c r="D744" s="4"/>
      <c r="E744" s="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1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1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1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1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1"/>
    </row>
    <row r="745" spans="1:75" ht="15.75" customHeight="1" x14ac:dyDescent="0.2">
      <c r="A745" s="4"/>
      <c r="B745" s="4"/>
      <c r="C745" s="4"/>
      <c r="D745" s="4"/>
      <c r="E745" s="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1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1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1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1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1"/>
    </row>
    <row r="746" spans="1:75" ht="15.75" customHeight="1" x14ac:dyDescent="0.2">
      <c r="A746" s="4"/>
      <c r="B746" s="4"/>
      <c r="C746" s="4"/>
      <c r="D746" s="4"/>
      <c r="E746" s="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1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1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1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1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1"/>
    </row>
    <row r="747" spans="1:75" ht="15.75" customHeight="1" x14ac:dyDescent="0.2">
      <c r="A747" s="4"/>
      <c r="B747" s="4"/>
      <c r="C747" s="4"/>
      <c r="D747" s="4"/>
      <c r="E747" s="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1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1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1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1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1"/>
    </row>
    <row r="748" spans="1:75" ht="15.75" customHeight="1" x14ac:dyDescent="0.2">
      <c r="A748" s="4"/>
      <c r="B748" s="4"/>
      <c r="C748" s="4"/>
      <c r="D748" s="4"/>
      <c r="E748" s="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1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1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1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1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1"/>
    </row>
    <row r="749" spans="1:75" ht="15.75" customHeight="1" x14ac:dyDescent="0.2">
      <c r="A749" s="4"/>
      <c r="B749" s="4"/>
      <c r="C749" s="4"/>
      <c r="D749" s="4"/>
      <c r="E749" s="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1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1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1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1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1"/>
    </row>
    <row r="750" spans="1:75" ht="15.75" customHeight="1" x14ac:dyDescent="0.2">
      <c r="A750" s="4"/>
      <c r="B750" s="4"/>
      <c r="C750" s="4"/>
      <c r="D750" s="4"/>
      <c r="E750" s="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1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1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1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1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1"/>
    </row>
    <row r="751" spans="1:75" ht="15.75" customHeight="1" x14ac:dyDescent="0.2">
      <c r="A751" s="4"/>
      <c r="B751" s="4"/>
      <c r="C751" s="4"/>
      <c r="D751" s="4"/>
      <c r="E751" s="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1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1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1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1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1"/>
    </row>
    <row r="752" spans="1:75" ht="15.75" customHeight="1" x14ac:dyDescent="0.2">
      <c r="A752" s="4"/>
      <c r="B752" s="4"/>
      <c r="C752" s="4"/>
      <c r="D752" s="4"/>
      <c r="E752" s="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1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1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1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1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1"/>
    </row>
    <row r="753" spans="1:75" ht="15.75" customHeight="1" x14ac:dyDescent="0.2">
      <c r="A753" s="4"/>
      <c r="B753" s="4"/>
      <c r="C753" s="4"/>
      <c r="D753" s="4"/>
      <c r="E753" s="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1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1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1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1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1"/>
    </row>
    <row r="754" spans="1:75" ht="15.75" customHeight="1" x14ac:dyDescent="0.2">
      <c r="A754" s="4"/>
      <c r="B754" s="4"/>
      <c r="C754" s="4"/>
      <c r="D754" s="4"/>
      <c r="E754" s="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1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1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1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1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1"/>
    </row>
    <row r="755" spans="1:75" ht="15.75" customHeight="1" x14ac:dyDescent="0.2">
      <c r="A755" s="4"/>
      <c r="B755" s="4"/>
      <c r="C755" s="4"/>
      <c r="D755" s="4"/>
      <c r="E755" s="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1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1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1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1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1"/>
    </row>
    <row r="756" spans="1:75" ht="15.75" customHeight="1" x14ac:dyDescent="0.2">
      <c r="A756" s="4"/>
      <c r="B756" s="4"/>
      <c r="C756" s="4"/>
      <c r="D756" s="4"/>
      <c r="E756" s="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1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1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1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1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1"/>
    </row>
    <row r="757" spans="1:75" ht="15.75" customHeight="1" x14ac:dyDescent="0.2">
      <c r="A757" s="4"/>
      <c r="B757" s="4"/>
      <c r="C757" s="4"/>
      <c r="D757" s="4"/>
      <c r="E757" s="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1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1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1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1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1"/>
    </row>
    <row r="758" spans="1:75" ht="15.75" customHeight="1" x14ac:dyDescent="0.2">
      <c r="A758" s="4"/>
      <c r="B758" s="4"/>
      <c r="C758" s="4"/>
      <c r="D758" s="4"/>
      <c r="E758" s="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1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1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1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1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1"/>
    </row>
    <row r="759" spans="1:75" ht="15.75" customHeight="1" x14ac:dyDescent="0.2">
      <c r="A759" s="4"/>
      <c r="B759" s="4"/>
      <c r="C759" s="4"/>
      <c r="D759" s="4"/>
      <c r="E759" s="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1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1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1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1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1"/>
    </row>
    <row r="760" spans="1:75" ht="15.75" customHeight="1" x14ac:dyDescent="0.2">
      <c r="A760" s="4"/>
      <c r="B760" s="4"/>
      <c r="C760" s="4"/>
      <c r="D760" s="4"/>
      <c r="E760" s="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1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1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1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1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1"/>
    </row>
    <row r="761" spans="1:75" ht="15.75" customHeight="1" x14ac:dyDescent="0.2">
      <c r="A761" s="4"/>
      <c r="B761" s="4"/>
      <c r="C761" s="4"/>
      <c r="D761" s="4"/>
      <c r="E761" s="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1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1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1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1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1"/>
    </row>
    <row r="762" spans="1:75" ht="15.75" customHeight="1" x14ac:dyDescent="0.2">
      <c r="A762" s="4"/>
      <c r="B762" s="4"/>
      <c r="C762" s="4"/>
      <c r="D762" s="4"/>
      <c r="E762" s="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1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1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1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1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1"/>
    </row>
    <row r="763" spans="1:75" ht="15.75" customHeight="1" x14ac:dyDescent="0.2">
      <c r="A763" s="4"/>
      <c r="B763" s="4"/>
      <c r="C763" s="4"/>
      <c r="D763" s="4"/>
      <c r="E763" s="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1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1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1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1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1"/>
    </row>
    <row r="764" spans="1:75" ht="15.75" customHeight="1" x14ac:dyDescent="0.2">
      <c r="A764" s="4"/>
      <c r="B764" s="4"/>
      <c r="C764" s="4"/>
      <c r="D764" s="4"/>
      <c r="E764" s="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1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1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1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1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1"/>
    </row>
    <row r="765" spans="1:75" ht="15.75" customHeight="1" x14ac:dyDescent="0.2">
      <c r="A765" s="4"/>
      <c r="B765" s="4"/>
      <c r="C765" s="4"/>
      <c r="D765" s="4"/>
      <c r="E765" s="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1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1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1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1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1"/>
    </row>
    <row r="766" spans="1:75" ht="15.75" customHeight="1" x14ac:dyDescent="0.2">
      <c r="A766" s="4"/>
      <c r="B766" s="4"/>
      <c r="C766" s="4"/>
      <c r="D766" s="4"/>
      <c r="E766" s="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1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1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1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1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1"/>
    </row>
    <row r="767" spans="1:75" ht="15.75" customHeight="1" x14ac:dyDescent="0.2">
      <c r="A767" s="4"/>
      <c r="B767" s="4"/>
      <c r="C767" s="4"/>
      <c r="D767" s="4"/>
      <c r="E767" s="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1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1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1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1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1"/>
    </row>
    <row r="768" spans="1:75" ht="15.75" customHeight="1" x14ac:dyDescent="0.2">
      <c r="A768" s="4"/>
      <c r="B768" s="4"/>
      <c r="C768" s="4"/>
      <c r="D768" s="4"/>
      <c r="E768" s="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1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1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1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1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1"/>
    </row>
    <row r="769" spans="1:75" ht="15.75" customHeight="1" x14ac:dyDescent="0.2">
      <c r="A769" s="4"/>
      <c r="B769" s="4"/>
      <c r="C769" s="4"/>
      <c r="D769" s="4"/>
      <c r="E769" s="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1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1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1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1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1"/>
    </row>
    <row r="770" spans="1:75" ht="15.75" customHeight="1" x14ac:dyDescent="0.2">
      <c r="A770" s="4"/>
      <c r="B770" s="4"/>
      <c r="C770" s="4"/>
      <c r="D770" s="4"/>
      <c r="E770" s="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1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1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1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1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1"/>
    </row>
    <row r="771" spans="1:75" ht="15.75" customHeight="1" x14ac:dyDescent="0.2">
      <c r="A771" s="4"/>
      <c r="B771" s="4"/>
      <c r="C771" s="4"/>
      <c r="D771" s="4"/>
      <c r="E771" s="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1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1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1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1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1"/>
    </row>
    <row r="772" spans="1:75" ht="15.75" customHeight="1" x14ac:dyDescent="0.2">
      <c r="A772" s="4"/>
      <c r="B772" s="4"/>
      <c r="C772" s="4"/>
      <c r="D772" s="4"/>
      <c r="E772" s="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1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1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1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1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1"/>
    </row>
    <row r="773" spans="1:75" ht="15.75" customHeight="1" x14ac:dyDescent="0.2">
      <c r="A773" s="4"/>
      <c r="B773" s="4"/>
      <c r="C773" s="4"/>
      <c r="D773" s="4"/>
      <c r="E773" s="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1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1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1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1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1"/>
    </row>
    <row r="774" spans="1:75" ht="15.75" customHeight="1" x14ac:dyDescent="0.2">
      <c r="A774" s="4"/>
      <c r="B774" s="4"/>
      <c r="C774" s="4"/>
      <c r="D774" s="4"/>
      <c r="E774" s="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1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1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1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1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1"/>
    </row>
    <row r="775" spans="1:75" ht="15.75" customHeight="1" x14ac:dyDescent="0.2">
      <c r="A775" s="4"/>
      <c r="B775" s="4"/>
      <c r="C775" s="4"/>
      <c r="D775" s="4"/>
      <c r="E775" s="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1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1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1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1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1"/>
    </row>
    <row r="776" spans="1:75" ht="15.75" customHeight="1" x14ac:dyDescent="0.2">
      <c r="A776" s="4"/>
      <c r="B776" s="4"/>
      <c r="C776" s="4"/>
      <c r="D776" s="4"/>
      <c r="E776" s="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1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1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1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1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1"/>
    </row>
    <row r="777" spans="1:75" ht="15.75" customHeight="1" x14ac:dyDescent="0.2">
      <c r="A777" s="4"/>
      <c r="B777" s="4"/>
      <c r="C777" s="4"/>
      <c r="D777" s="4"/>
      <c r="E777" s="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1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1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1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1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1"/>
    </row>
    <row r="778" spans="1:75" ht="15.75" customHeight="1" x14ac:dyDescent="0.2">
      <c r="A778" s="4"/>
      <c r="B778" s="4"/>
      <c r="C778" s="4"/>
      <c r="D778" s="4"/>
      <c r="E778" s="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1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1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1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1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1"/>
    </row>
    <row r="779" spans="1:75" ht="15.75" customHeight="1" x14ac:dyDescent="0.2">
      <c r="A779" s="4"/>
      <c r="B779" s="4"/>
      <c r="C779" s="4"/>
      <c r="D779" s="4"/>
      <c r="E779" s="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1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1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1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1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1"/>
    </row>
    <row r="780" spans="1:75" ht="15.75" customHeight="1" x14ac:dyDescent="0.2">
      <c r="A780" s="4"/>
      <c r="B780" s="4"/>
      <c r="C780" s="4"/>
      <c r="D780" s="4"/>
      <c r="E780" s="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1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1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1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1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1"/>
    </row>
    <row r="781" spans="1:75" ht="15.75" customHeight="1" x14ac:dyDescent="0.2">
      <c r="A781" s="4"/>
      <c r="B781" s="4"/>
      <c r="C781" s="4"/>
      <c r="D781" s="4"/>
      <c r="E781" s="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1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1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1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1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1"/>
    </row>
    <row r="782" spans="1:75" ht="15.75" customHeight="1" x14ac:dyDescent="0.2">
      <c r="A782" s="4"/>
      <c r="B782" s="4"/>
      <c r="C782" s="4"/>
      <c r="D782" s="4"/>
      <c r="E782" s="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1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1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1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1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1"/>
    </row>
    <row r="783" spans="1:75" ht="15.75" customHeight="1" x14ac:dyDescent="0.2">
      <c r="A783" s="4"/>
      <c r="B783" s="4"/>
      <c r="C783" s="4"/>
      <c r="D783" s="4"/>
      <c r="E783" s="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1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1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1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1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1"/>
    </row>
    <row r="784" spans="1:75" ht="15.75" customHeight="1" x14ac:dyDescent="0.2">
      <c r="A784" s="4"/>
      <c r="B784" s="4"/>
      <c r="C784" s="4"/>
      <c r="D784" s="4"/>
      <c r="E784" s="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1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1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1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1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1"/>
    </row>
    <row r="785" spans="1:75" ht="15.75" customHeight="1" x14ac:dyDescent="0.2">
      <c r="A785" s="4"/>
      <c r="B785" s="4"/>
      <c r="C785" s="4"/>
      <c r="D785" s="4"/>
      <c r="E785" s="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1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1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1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1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1"/>
    </row>
    <row r="786" spans="1:75" ht="15.75" customHeight="1" x14ac:dyDescent="0.2">
      <c r="A786" s="4"/>
      <c r="B786" s="4"/>
      <c r="C786" s="4"/>
      <c r="D786" s="4"/>
      <c r="E786" s="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1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1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1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1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1"/>
    </row>
    <row r="787" spans="1:75" ht="15.75" customHeight="1" x14ac:dyDescent="0.2">
      <c r="A787" s="4"/>
      <c r="B787" s="4"/>
      <c r="C787" s="4"/>
      <c r="D787" s="4"/>
      <c r="E787" s="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1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1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1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1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1"/>
    </row>
    <row r="788" spans="1:75" ht="15.75" customHeight="1" x14ac:dyDescent="0.2">
      <c r="A788" s="4"/>
      <c r="B788" s="4"/>
      <c r="C788" s="4"/>
      <c r="D788" s="4"/>
      <c r="E788" s="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1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1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1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1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1"/>
    </row>
    <row r="789" spans="1:75" ht="15.75" customHeight="1" x14ac:dyDescent="0.2">
      <c r="A789" s="4"/>
      <c r="B789" s="4"/>
      <c r="C789" s="4"/>
      <c r="D789" s="4"/>
      <c r="E789" s="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1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1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1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1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1"/>
    </row>
    <row r="790" spans="1:75" ht="15.75" customHeight="1" x14ac:dyDescent="0.2">
      <c r="A790" s="4"/>
      <c r="B790" s="4"/>
      <c r="C790" s="4"/>
      <c r="D790" s="4"/>
      <c r="E790" s="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1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1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1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1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1"/>
    </row>
    <row r="791" spans="1:75" ht="15.75" customHeight="1" x14ac:dyDescent="0.2">
      <c r="A791" s="4"/>
      <c r="B791" s="4"/>
      <c r="C791" s="4"/>
      <c r="D791" s="4"/>
      <c r="E791" s="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1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1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1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1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1"/>
    </row>
    <row r="792" spans="1:75" ht="15.75" customHeight="1" x14ac:dyDescent="0.2">
      <c r="A792" s="4"/>
      <c r="B792" s="4"/>
      <c r="C792" s="4"/>
      <c r="D792" s="4"/>
      <c r="E792" s="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1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1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1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1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1"/>
    </row>
    <row r="793" spans="1:75" ht="15.75" customHeight="1" x14ac:dyDescent="0.2">
      <c r="A793" s="4"/>
      <c r="B793" s="4"/>
      <c r="C793" s="4"/>
      <c r="D793" s="4"/>
      <c r="E793" s="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1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1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1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1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1"/>
    </row>
    <row r="794" spans="1:75" ht="15.75" customHeight="1" x14ac:dyDescent="0.2">
      <c r="A794" s="4"/>
      <c r="B794" s="4"/>
      <c r="C794" s="4"/>
      <c r="D794" s="4"/>
      <c r="E794" s="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1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1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1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1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1"/>
    </row>
    <row r="795" spans="1:75" ht="15.75" customHeight="1" x14ac:dyDescent="0.2">
      <c r="A795" s="4"/>
      <c r="B795" s="4"/>
      <c r="C795" s="4"/>
      <c r="D795" s="4"/>
      <c r="E795" s="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1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1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1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1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1"/>
    </row>
    <row r="796" spans="1:75" ht="15.75" customHeight="1" x14ac:dyDescent="0.2">
      <c r="A796" s="4"/>
      <c r="B796" s="4"/>
      <c r="C796" s="4"/>
      <c r="D796" s="4"/>
      <c r="E796" s="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1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1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1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1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1"/>
    </row>
    <row r="797" spans="1:75" ht="15.75" customHeight="1" x14ac:dyDescent="0.2">
      <c r="A797" s="4"/>
      <c r="B797" s="4"/>
      <c r="C797" s="4"/>
      <c r="D797" s="4"/>
      <c r="E797" s="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1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1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1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1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1"/>
    </row>
    <row r="798" spans="1:75" ht="15.75" customHeight="1" x14ac:dyDescent="0.2">
      <c r="A798" s="4"/>
      <c r="B798" s="4"/>
      <c r="C798" s="4"/>
      <c r="D798" s="4"/>
      <c r="E798" s="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1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1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1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1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1"/>
    </row>
    <row r="799" spans="1:75" ht="15.75" customHeight="1" x14ac:dyDescent="0.2">
      <c r="A799" s="4"/>
      <c r="B799" s="4"/>
      <c r="C799" s="4"/>
      <c r="D799" s="4"/>
      <c r="E799" s="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1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1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1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1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1"/>
    </row>
    <row r="800" spans="1:75" ht="15.75" customHeight="1" x14ac:dyDescent="0.2">
      <c r="A800" s="4"/>
      <c r="B800" s="4"/>
      <c r="C800" s="4"/>
      <c r="D800" s="4"/>
      <c r="E800" s="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1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1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1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1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1"/>
    </row>
    <row r="801" spans="1:75" ht="15.75" customHeight="1" x14ac:dyDescent="0.2">
      <c r="A801" s="4"/>
      <c r="B801" s="4"/>
      <c r="C801" s="4"/>
      <c r="D801" s="4"/>
      <c r="E801" s="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1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1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1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1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1"/>
    </row>
    <row r="802" spans="1:75" ht="15.75" customHeight="1" x14ac:dyDescent="0.2">
      <c r="A802" s="4"/>
      <c r="B802" s="4"/>
      <c r="C802" s="4"/>
      <c r="D802" s="4"/>
      <c r="E802" s="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1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1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1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1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1"/>
    </row>
    <row r="803" spans="1:75" ht="15.75" customHeight="1" x14ac:dyDescent="0.2">
      <c r="A803" s="4"/>
      <c r="B803" s="4"/>
      <c r="C803" s="4"/>
      <c r="D803" s="4"/>
      <c r="E803" s="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1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1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1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1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1"/>
    </row>
    <row r="804" spans="1:75" ht="15.75" customHeight="1" x14ac:dyDescent="0.2">
      <c r="A804" s="4"/>
      <c r="B804" s="4"/>
      <c r="C804" s="4"/>
      <c r="D804" s="4"/>
      <c r="E804" s="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1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1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1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1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1"/>
    </row>
    <row r="805" spans="1:75" ht="15.75" customHeight="1" x14ac:dyDescent="0.2">
      <c r="A805" s="4"/>
      <c r="B805" s="4"/>
      <c r="C805" s="4"/>
      <c r="D805" s="4"/>
      <c r="E805" s="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1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1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1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1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1"/>
    </row>
    <row r="806" spans="1:75" ht="15.75" customHeight="1" x14ac:dyDescent="0.2">
      <c r="A806" s="4"/>
      <c r="B806" s="4"/>
      <c r="C806" s="4"/>
      <c r="D806" s="4"/>
      <c r="E806" s="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1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1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1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1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1"/>
    </row>
    <row r="807" spans="1:75" ht="15.75" customHeight="1" x14ac:dyDescent="0.2">
      <c r="A807" s="4"/>
      <c r="B807" s="4"/>
      <c r="C807" s="4"/>
      <c r="D807" s="4"/>
      <c r="E807" s="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1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1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1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1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1"/>
    </row>
    <row r="808" spans="1:75" ht="15.75" customHeight="1" x14ac:dyDescent="0.2">
      <c r="A808" s="4"/>
      <c r="B808" s="4"/>
      <c r="C808" s="4"/>
      <c r="D808" s="4"/>
      <c r="E808" s="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1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1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1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1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1"/>
    </row>
    <row r="809" spans="1:75" ht="15.75" customHeight="1" x14ac:dyDescent="0.2">
      <c r="A809" s="4"/>
      <c r="B809" s="4"/>
      <c r="C809" s="4"/>
      <c r="D809" s="4"/>
      <c r="E809" s="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1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1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1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1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1"/>
    </row>
    <row r="810" spans="1:75" ht="15.75" customHeight="1" x14ac:dyDescent="0.2">
      <c r="A810" s="4"/>
      <c r="B810" s="4"/>
      <c r="C810" s="4"/>
      <c r="D810" s="4"/>
      <c r="E810" s="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1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1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1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1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1"/>
    </row>
    <row r="811" spans="1:75" ht="15.75" customHeight="1" x14ac:dyDescent="0.2">
      <c r="A811" s="4"/>
      <c r="B811" s="4"/>
      <c r="C811" s="4"/>
      <c r="D811" s="4"/>
      <c r="E811" s="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1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1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1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1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1"/>
    </row>
    <row r="812" spans="1:75" ht="15.75" customHeight="1" x14ac:dyDescent="0.2">
      <c r="A812" s="4"/>
      <c r="B812" s="4"/>
      <c r="C812" s="4"/>
      <c r="D812" s="4"/>
      <c r="E812" s="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1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1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1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1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1"/>
    </row>
    <row r="813" spans="1:75" ht="15.75" customHeight="1" x14ac:dyDescent="0.2">
      <c r="A813" s="4"/>
      <c r="B813" s="4"/>
      <c r="C813" s="4"/>
      <c r="D813" s="4"/>
      <c r="E813" s="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1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1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1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1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1"/>
    </row>
    <row r="814" spans="1:75" ht="15.75" customHeight="1" x14ac:dyDescent="0.2">
      <c r="A814" s="4"/>
      <c r="B814" s="4"/>
      <c r="C814" s="4"/>
      <c r="D814" s="4"/>
      <c r="E814" s="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1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1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1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1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1"/>
    </row>
    <row r="815" spans="1:75" ht="15.75" customHeight="1" x14ac:dyDescent="0.2">
      <c r="A815" s="4"/>
      <c r="B815" s="4"/>
      <c r="C815" s="4"/>
      <c r="D815" s="4"/>
      <c r="E815" s="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1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1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1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1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1"/>
    </row>
    <row r="816" spans="1:75" ht="15.75" customHeight="1" x14ac:dyDescent="0.2">
      <c r="A816" s="4"/>
      <c r="B816" s="4"/>
      <c r="C816" s="4"/>
      <c r="D816" s="4"/>
      <c r="E816" s="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1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1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1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1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1"/>
    </row>
    <row r="817" spans="1:75" ht="15.75" customHeight="1" x14ac:dyDescent="0.2">
      <c r="A817" s="4"/>
      <c r="B817" s="4"/>
      <c r="C817" s="4"/>
      <c r="D817" s="4"/>
      <c r="E817" s="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1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1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1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1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1"/>
    </row>
    <row r="818" spans="1:75" ht="15.75" customHeight="1" x14ac:dyDescent="0.2">
      <c r="A818" s="4"/>
      <c r="B818" s="4"/>
      <c r="C818" s="4"/>
      <c r="D818" s="4"/>
      <c r="E818" s="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1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1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1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1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1"/>
    </row>
    <row r="819" spans="1:75" ht="15.75" customHeight="1" x14ac:dyDescent="0.2">
      <c r="A819" s="4"/>
      <c r="B819" s="4"/>
      <c r="C819" s="4"/>
      <c r="D819" s="4"/>
      <c r="E819" s="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1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1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1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1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1"/>
    </row>
    <row r="820" spans="1:75" ht="15.75" customHeight="1" x14ac:dyDescent="0.2">
      <c r="A820" s="4"/>
      <c r="B820" s="4"/>
      <c r="C820" s="4"/>
      <c r="D820" s="4"/>
      <c r="E820" s="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1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1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1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1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1"/>
    </row>
    <row r="821" spans="1:75" ht="15.75" customHeight="1" x14ac:dyDescent="0.2">
      <c r="A821" s="4"/>
      <c r="B821" s="4"/>
      <c r="C821" s="4"/>
      <c r="D821" s="4"/>
      <c r="E821" s="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1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1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1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1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1"/>
    </row>
    <row r="822" spans="1:75" ht="15.75" customHeight="1" x14ac:dyDescent="0.2">
      <c r="A822" s="4"/>
      <c r="B822" s="4"/>
      <c r="C822" s="4"/>
      <c r="D822" s="4"/>
      <c r="E822" s="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1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1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1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1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1"/>
    </row>
    <row r="823" spans="1:75" ht="15.75" customHeight="1" x14ac:dyDescent="0.2">
      <c r="A823" s="4"/>
      <c r="B823" s="4"/>
      <c r="C823" s="4"/>
      <c r="D823" s="4"/>
      <c r="E823" s="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1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1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1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1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1"/>
    </row>
    <row r="824" spans="1:75" ht="15.75" customHeight="1" x14ac:dyDescent="0.2">
      <c r="A824" s="4"/>
      <c r="B824" s="4"/>
      <c r="C824" s="4"/>
      <c r="D824" s="4"/>
      <c r="E824" s="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1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1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1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1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1"/>
    </row>
    <row r="825" spans="1:75" ht="15.75" customHeight="1" x14ac:dyDescent="0.2">
      <c r="A825" s="4"/>
      <c r="B825" s="4"/>
      <c r="C825" s="4"/>
      <c r="D825" s="4"/>
      <c r="E825" s="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1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1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1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1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1"/>
    </row>
    <row r="826" spans="1:75" ht="15.75" customHeight="1" x14ac:dyDescent="0.2">
      <c r="A826" s="4"/>
      <c r="B826" s="4"/>
      <c r="C826" s="4"/>
      <c r="D826" s="4"/>
      <c r="E826" s="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1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1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1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1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1"/>
    </row>
    <row r="827" spans="1:75" ht="15.75" customHeight="1" x14ac:dyDescent="0.2">
      <c r="A827" s="4"/>
      <c r="B827" s="4"/>
      <c r="C827" s="4"/>
      <c r="D827" s="4"/>
      <c r="E827" s="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1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1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1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1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1"/>
    </row>
    <row r="828" spans="1:75" ht="15.75" customHeight="1" x14ac:dyDescent="0.2">
      <c r="A828" s="4"/>
      <c r="B828" s="4"/>
      <c r="C828" s="4"/>
      <c r="D828" s="4"/>
      <c r="E828" s="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1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1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1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1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1"/>
    </row>
    <row r="829" spans="1:75" ht="15.75" customHeight="1" x14ac:dyDescent="0.2">
      <c r="A829" s="4"/>
      <c r="B829" s="4"/>
      <c r="C829" s="4"/>
      <c r="D829" s="4"/>
      <c r="E829" s="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1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1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1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1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1"/>
    </row>
    <row r="830" spans="1:75" ht="15.75" customHeight="1" x14ac:dyDescent="0.2">
      <c r="A830" s="4"/>
      <c r="B830" s="4"/>
      <c r="C830" s="4"/>
      <c r="D830" s="4"/>
      <c r="E830" s="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1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1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1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1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1"/>
    </row>
    <row r="831" spans="1:75" ht="15.75" customHeight="1" x14ac:dyDescent="0.2">
      <c r="A831" s="4"/>
      <c r="B831" s="4"/>
      <c r="C831" s="4"/>
      <c r="D831" s="4"/>
      <c r="E831" s="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1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1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1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1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1"/>
    </row>
    <row r="832" spans="1:75" ht="15.75" customHeight="1" x14ac:dyDescent="0.2">
      <c r="A832" s="4"/>
      <c r="B832" s="4"/>
      <c r="C832" s="4"/>
      <c r="D832" s="4"/>
      <c r="E832" s="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1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1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1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1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1"/>
    </row>
    <row r="833" spans="1:75" ht="15.75" customHeight="1" x14ac:dyDescent="0.2">
      <c r="A833" s="4"/>
      <c r="B833" s="4"/>
      <c r="C833" s="4"/>
      <c r="D833" s="4"/>
      <c r="E833" s="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1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1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1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1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1"/>
    </row>
    <row r="834" spans="1:75" ht="15.75" customHeight="1" x14ac:dyDescent="0.2">
      <c r="A834" s="4"/>
      <c r="B834" s="4"/>
      <c r="C834" s="4"/>
      <c r="D834" s="4"/>
      <c r="E834" s="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1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1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1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1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1"/>
    </row>
    <row r="835" spans="1:75" ht="15.75" customHeight="1" x14ac:dyDescent="0.2">
      <c r="A835" s="4"/>
      <c r="B835" s="4"/>
      <c r="C835" s="4"/>
      <c r="D835" s="4"/>
      <c r="E835" s="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1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1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1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1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1"/>
    </row>
    <row r="836" spans="1:75" ht="15.75" customHeight="1" x14ac:dyDescent="0.2">
      <c r="A836" s="4"/>
      <c r="B836" s="4"/>
      <c r="C836" s="4"/>
      <c r="D836" s="4"/>
      <c r="E836" s="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1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1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1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1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1"/>
    </row>
    <row r="837" spans="1:75" ht="15.75" customHeight="1" x14ac:dyDescent="0.2">
      <c r="A837" s="4"/>
      <c r="B837" s="4"/>
      <c r="C837" s="4"/>
      <c r="D837" s="4"/>
      <c r="E837" s="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1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1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1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1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1"/>
    </row>
    <row r="838" spans="1:75" ht="15.75" customHeight="1" x14ac:dyDescent="0.2">
      <c r="A838" s="4"/>
      <c r="B838" s="4"/>
      <c r="C838" s="4"/>
      <c r="D838" s="4"/>
      <c r="E838" s="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1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1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1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1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1"/>
    </row>
    <row r="839" spans="1:75" ht="15.75" customHeight="1" x14ac:dyDescent="0.2">
      <c r="A839" s="4"/>
      <c r="B839" s="4"/>
      <c r="C839" s="4"/>
      <c r="D839" s="4"/>
      <c r="E839" s="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1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1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1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1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1"/>
    </row>
    <row r="840" spans="1:75" ht="15.75" customHeight="1" x14ac:dyDescent="0.2">
      <c r="A840" s="4"/>
      <c r="B840" s="4"/>
      <c r="C840" s="4"/>
      <c r="D840" s="4"/>
      <c r="E840" s="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1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1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1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1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1"/>
    </row>
    <row r="841" spans="1:75" ht="15.75" customHeight="1" x14ac:dyDescent="0.2">
      <c r="A841" s="4"/>
      <c r="B841" s="4"/>
      <c r="C841" s="4"/>
      <c r="D841" s="4"/>
      <c r="E841" s="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1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1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1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1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1"/>
    </row>
    <row r="842" spans="1:75" ht="15.75" customHeight="1" x14ac:dyDescent="0.2">
      <c r="A842" s="4"/>
      <c r="B842" s="4"/>
      <c r="C842" s="4"/>
      <c r="D842" s="4"/>
      <c r="E842" s="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1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1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1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1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1"/>
    </row>
    <row r="843" spans="1:75" ht="15.75" customHeight="1" x14ac:dyDescent="0.2">
      <c r="A843" s="4"/>
      <c r="B843" s="4"/>
      <c r="C843" s="4"/>
      <c r="D843" s="4"/>
      <c r="E843" s="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1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1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1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1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1"/>
    </row>
    <row r="844" spans="1:75" ht="15.75" customHeight="1" x14ac:dyDescent="0.2">
      <c r="A844" s="4"/>
      <c r="B844" s="4"/>
      <c r="C844" s="4"/>
      <c r="D844" s="4"/>
      <c r="E844" s="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1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1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1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1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1"/>
    </row>
    <row r="845" spans="1:75" ht="15.75" customHeight="1" x14ac:dyDescent="0.2">
      <c r="A845" s="4"/>
      <c r="B845" s="4"/>
      <c r="C845" s="4"/>
      <c r="D845" s="4"/>
      <c r="E845" s="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1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1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1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1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1"/>
    </row>
    <row r="846" spans="1:75" ht="15.75" customHeight="1" x14ac:dyDescent="0.2">
      <c r="A846" s="4"/>
      <c r="B846" s="4"/>
      <c r="C846" s="4"/>
      <c r="D846" s="4"/>
      <c r="E846" s="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1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1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1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1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1"/>
    </row>
    <row r="847" spans="1:75" ht="15.75" customHeight="1" x14ac:dyDescent="0.2">
      <c r="A847" s="4"/>
      <c r="B847" s="4"/>
      <c r="C847" s="4"/>
      <c r="D847" s="4"/>
      <c r="E847" s="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1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1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1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1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1"/>
    </row>
    <row r="848" spans="1:75" ht="15.75" customHeight="1" x14ac:dyDescent="0.2">
      <c r="A848" s="4"/>
      <c r="B848" s="4"/>
      <c r="C848" s="4"/>
      <c r="D848" s="4"/>
      <c r="E848" s="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1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1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1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1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1"/>
    </row>
    <row r="849" spans="1:75" ht="15.75" customHeight="1" x14ac:dyDescent="0.2">
      <c r="A849" s="4"/>
      <c r="B849" s="4"/>
      <c r="C849" s="4"/>
      <c r="D849" s="4"/>
      <c r="E849" s="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1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1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1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1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1"/>
    </row>
    <row r="850" spans="1:75" ht="15.75" customHeight="1" x14ac:dyDescent="0.2">
      <c r="A850" s="4"/>
      <c r="B850" s="4"/>
      <c r="C850" s="4"/>
      <c r="D850" s="4"/>
      <c r="E850" s="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1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1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1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1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1"/>
    </row>
    <row r="851" spans="1:75" ht="15.75" customHeight="1" x14ac:dyDescent="0.2">
      <c r="A851" s="4"/>
      <c r="B851" s="4"/>
      <c r="C851" s="4"/>
      <c r="D851" s="4"/>
      <c r="E851" s="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1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1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1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1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1"/>
    </row>
    <row r="852" spans="1:75" ht="15.75" customHeight="1" x14ac:dyDescent="0.2">
      <c r="A852" s="4"/>
      <c r="B852" s="4"/>
      <c r="C852" s="4"/>
      <c r="D852" s="4"/>
      <c r="E852" s="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1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1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1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1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1"/>
    </row>
    <row r="853" spans="1:75" ht="15.75" customHeight="1" x14ac:dyDescent="0.2">
      <c r="A853" s="4"/>
      <c r="B853" s="4"/>
      <c r="C853" s="4"/>
      <c r="D853" s="4"/>
      <c r="E853" s="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1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1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1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1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1"/>
    </row>
    <row r="854" spans="1:75" ht="15.75" customHeight="1" x14ac:dyDescent="0.2">
      <c r="A854" s="4"/>
      <c r="B854" s="4"/>
      <c r="C854" s="4"/>
      <c r="D854" s="4"/>
      <c r="E854" s="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1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1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1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1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1"/>
    </row>
    <row r="855" spans="1:75" ht="15.75" customHeight="1" x14ac:dyDescent="0.2">
      <c r="A855" s="4"/>
      <c r="B855" s="4"/>
      <c r="C855" s="4"/>
      <c r="D855" s="4"/>
      <c r="E855" s="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1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1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1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1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1"/>
    </row>
    <row r="856" spans="1:75" ht="15.75" customHeight="1" x14ac:dyDescent="0.2">
      <c r="A856" s="4"/>
      <c r="B856" s="4"/>
      <c r="C856" s="4"/>
      <c r="D856" s="4"/>
      <c r="E856" s="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1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1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1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1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1"/>
    </row>
    <row r="857" spans="1:75" ht="15.75" customHeight="1" x14ac:dyDescent="0.2">
      <c r="A857" s="4"/>
      <c r="B857" s="4"/>
      <c r="C857" s="4"/>
      <c r="D857" s="4"/>
      <c r="E857" s="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1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1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1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1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1"/>
    </row>
    <row r="858" spans="1:75" ht="15.75" customHeight="1" x14ac:dyDescent="0.2">
      <c r="A858" s="4"/>
      <c r="B858" s="4"/>
      <c r="C858" s="4"/>
      <c r="D858" s="4"/>
      <c r="E858" s="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1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1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1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1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1"/>
    </row>
    <row r="859" spans="1:75" ht="15.75" customHeight="1" x14ac:dyDescent="0.2">
      <c r="A859" s="4"/>
      <c r="B859" s="4"/>
      <c r="C859" s="4"/>
      <c r="D859" s="4"/>
      <c r="E859" s="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1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1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1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1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1"/>
    </row>
    <row r="860" spans="1:75" ht="15.75" customHeight="1" x14ac:dyDescent="0.2">
      <c r="A860" s="4"/>
      <c r="B860" s="4"/>
      <c r="C860" s="4"/>
      <c r="D860" s="4"/>
      <c r="E860" s="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1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1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1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1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1"/>
    </row>
    <row r="861" spans="1:75" ht="15.75" customHeight="1" x14ac:dyDescent="0.2">
      <c r="A861" s="4"/>
      <c r="B861" s="4"/>
      <c r="C861" s="4"/>
      <c r="D861" s="4"/>
      <c r="E861" s="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1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1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1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1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1"/>
    </row>
    <row r="862" spans="1:75" ht="15.75" customHeight="1" x14ac:dyDescent="0.2">
      <c r="A862" s="4"/>
      <c r="B862" s="4"/>
      <c r="C862" s="4"/>
      <c r="D862" s="4"/>
      <c r="E862" s="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1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1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1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1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1"/>
    </row>
    <row r="863" spans="1:75" ht="15.75" customHeight="1" x14ac:dyDescent="0.2">
      <c r="A863" s="4"/>
      <c r="B863" s="4"/>
      <c r="C863" s="4"/>
      <c r="D863" s="4"/>
      <c r="E863" s="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1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1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1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1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1"/>
    </row>
    <row r="864" spans="1:75" ht="15.75" customHeight="1" x14ac:dyDescent="0.2">
      <c r="A864" s="4"/>
      <c r="B864" s="4"/>
      <c r="C864" s="4"/>
      <c r="D864" s="4"/>
      <c r="E864" s="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1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1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1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1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1"/>
    </row>
    <row r="865" spans="1:75" ht="15.75" customHeight="1" x14ac:dyDescent="0.2">
      <c r="A865" s="4"/>
      <c r="B865" s="4"/>
      <c r="C865" s="4"/>
      <c r="D865" s="4"/>
      <c r="E865" s="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1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1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1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1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1"/>
    </row>
    <row r="866" spans="1:75" ht="15.75" customHeight="1" x14ac:dyDescent="0.2">
      <c r="A866" s="4"/>
      <c r="B866" s="4"/>
      <c r="C866" s="4"/>
      <c r="D866" s="4"/>
      <c r="E866" s="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1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1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1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1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1"/>
    </row>
    <row r="867" spans="1:75" ht="15.75" customHeight="1" x14ac:dyDescent="0.2">
      <c r="A867" s="4"/>
      <c r="B867" s="4"/>
      <c r="C867" s="4"/>
      <c r="D867" s="4"/>
      <c r="E867" s="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1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1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1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1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1"/>
    </row>
    <row r="868" spans="1:75" ht="15.75" customHeight="1" x14ac:dyDescent="0.2">
      <c r="A868" s="4"/>
      <c r="B868" s="4"/>
      <c r="C868" s="4"/>
      <c r="D868" s="4"/>
      <c r="E868" s="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1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1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1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1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1"/>
    </row>
    <row r="869" spans="1:75" ht="15.75" customHeight="1" x14ac:dyDescent="0.2">
      <c r="A869" s="4"/>
      <c r="B869" s="4"/>
      <c r="C869" s="4"/>
      <c r="D869" s="4"/>
      <c r="E869" s="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1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1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1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1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1"/>
    </row>
    <row r="870" spans="1:75" ht="15.75" customHeight="1" x14ac:dyDescent="0.2">
      <c r="A870" s="4"/>
      <c r="B870" s="4"/>
      <c r="C870" s="4"/>
      <c r="D870" s="4"/>
      <c r="E870" s="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1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1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1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1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1"/>
    </row>
    <row r="871" spans="1:75" ht="15.75" customHeight="1" x14ac:dyDescent="0.2">
      <c r="A871" s="4"/>
      <c r="B871" s="4"/>
      <c r="C871" s="4"/>
      <c r="D871" s="4"/>
      <c r="E871" s="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1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1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1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1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1"/>
    </row>
    <row r="872" spans="1:75" ht="15.75" customHeight="1" x14ac:dyDescent="0.2">
      <c r="A872" s="4"/>
      <c r="B872" s="4"/>
      <c r="C872" s="4"/>
      <c r="D872" s="4"/>
      <c r="E872" s="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1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1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1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1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1"/>
    </row>
    <row r="873" spans="1:75" ht="15.75" customHeight="1" x14ac:dyDescent="0.2">
      <c r="A873" s="4"/>
      <c r="B873" s="4"/>
      <c r="C873" s="4"/>
      <c r="D873" s="4"/>
      <c r="E873" s="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1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1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1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1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1"/>
    </row>
    <row r="874" spans="1:75" ht="15.75" customHeight="1" x14ac:dyDescent="0.2">
      <c r="A874" s="4"/>
      <c r="B874" s="4"/>
      <c r="C874" s="4"/>
      <c r="D874" s="4"/>
      <c r="E874" s="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1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1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1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1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1"/>
    </row>
    <row r="875" spans="1:75" ht="15.75" customHeight="1" x14ac:dyDescent="0.2">
      <c r="A875" s="4"/>
      <c r="B875" s="4"/>
      <c r="C875" s="4"/>
      <c r="D875" s="4"/>
      <c r="E875" s="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1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1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1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1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1"/>
    </row>
    <row r="876" spans="1:75" ht="15.75" customHeight="1" x14ac:dyDescent="0.2">
      <c r="A876" s="4"/>
      <c r="B876" s="4"/>
      <c r="C876" s="4"/>
      <c r="D876" s="4"/>
      <c r="E876" s="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1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1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1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1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1"/>
    </row>
    <row r="877" spans="1:75" ht="15.75" customHeight="1" x14ac:dyDescent="0.2">
      <c r="A877" s="4"/>
      <c r="B877" s="4"/>
      <c r="C877" s="4"/>
      <c r="D877" s="4"/>
      <c r="E877" s="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1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1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1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1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1"/>
    </row>
    <row r="878" spans="1:75" ht="15.75" customHeight="1" x14ac:dyDescent="0.2">
      <c r="A878" s="4"/>
      <c r="B878" s="4"/>
      <c r="C878" s="4"/>
      <c r="D878" s="4"/>
      <c r="E878" s="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1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1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1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1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1"/>
    </row>
    <row r="879" spans="1:75" ht="15.75" customHeight="1" x14ac:dyDescent="0.2">
      <c r="A879" s="4"/>
      <c r="B879" s="4"/>
      <c r="C879" s="4"/>
      <c r="D879" s="4"/>
      <c r="E879" s="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1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1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1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1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1"/>
    </row>
    <row r="880" spans="1:75" ht="15.75" customHeight="1" x14ac:dyDescent="0.2">
      <c r="A880" s="4"/>
      <c r="B880" s="4"/>
      <c r="C880" s="4"/>
      <c r="D880" s="4"/>
      <c r="E880" s="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1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1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1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1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1"/>
    </row>
    <row r="881" spans="1:75" ht="15.75" customHeight="1" x14ac:dyDescent="0.2">
      <c r="A881" s="4"/>
      <c r="B881" s="4"/>
      <c r="C881" s="4"/>
      <c r="D881" s="4"/>
      <c r="E881" s="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1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1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1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1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1"/>
    </row>
    <row r="882" spans="1:75" ht="15.75" customHeight="1" x14ac:dyDescent="0.2">
      <c r="A882" s="4"/>
      <c r="B882" s="4"/>
      <c r="C882" s="4"/>
      <c r="D882" s="4"/>
      <c r="E882" s="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1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1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1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1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1"/>
    </row>
    <row r="883" spans="1:75" ht="15.75" customHeight="1" x14ac:dyDescent="0.2">
      <c r="A883" s="4"/>
      <c r="B883" s="4"/>
      <c r="C883" s="4"/>
      <c r="D883" s="4"/>
      <c r="E883" s="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1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1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1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1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1"/>
    </row>
    <row r="884" spans="1:75" ht="15.75" customHeight="1" x14ac:dyDescent="0.2">
      <c r="A884" s="4"/>
      <c r="B884" s="4"/>
      <c r="C884" s="4"/>
      <c r="D884" s="4"/>
      <c r="E884" s="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1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1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1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1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1"/>
    </row>
    <row r="885" spans="1:75" ht="15.75" customHeight="1" x14ac:dyDescent="0.2">
      <c r="A885" s="4"/>
      <c r="B885" s="4"/>
      <c r="C885" s="4"/>
      <c r="D885" s="4"/>
      <c r="E885" s="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1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1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1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1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1"/>
    </row>
    <row r="886" spans="1:75" ht="15.75" customHeight="1" x14ac:dyDescent="0.2">
      <c r="A886" s="4"/>
      <c r="B886" s="4"/>
      <c r="C886" s="4"/>
      <c r="D886" s="4"/>
      <c r="E886" s="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1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1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1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1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1"/>
    </row>
    <row r="887" spans="1:75" ht="15.75" customHeight="1" x14ac:dyDescent="0.2">
      <c r="A887" s="4"/>
      <c r="B887" s="4"/>
      <c r="C887" s="4"/>
      <c r="D887" s="4"/>
      <c r="E887" s="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1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1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1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1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1"/>
    </row>
    <row r="888" spans="1:75" ht="15.75" customHeight="1" x14ac:dyDescent="0.2">
      <c r="A888" s="4"/>
      <c r="B888" s="4"/>
      <c r="C888" s="4"/>
      <c r="D888" s="4"/>
      <c r="E888" s="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1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1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1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1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1"/>
    </row>
    <row r="889" spans="1:75" ht="15.75" customHeight="1" x14ac:dyDescent="0.2">
      <c r="A889" s="4"/>
      <c r="B889" s="4"/>
      <c r="C889" s="4"/>
      <c r="D889" s="4"/>
      <c r="E889" s="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1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1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1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1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1"/>
    </row>
    <row r="890" spans="1:75" ht="15.75" customHeight="1" x14ac:dyDescent="0.2">
      <c r="A890" s="4"/>
      <c r="B890" s="4"/>
      <c r="C890" s="4"/>
      <c r="D890" s="4"/>
      <c r="E890" s="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1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1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1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1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1"/>
    </row>
    <row r="891" spans="1:75" ht="15.75" customHeight="1" x14ac:dyDescent="0.2">
      <c r="A891" s="4"/>
      <c r="B891" s="4"/>
      <c r="C891" s="4"/>
      <c r="D891" s="4"/>
      <c r="E891" s="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1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1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1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1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1"/>
    </row>
    <row r="892" spans="1:75" ht="15.75" customHeight="1" x14ac:dyDescent="0.2">
      <c r="A892" s="4"/>
      <c r="B892" s="4"/>
      <c r="C892" s="4"/>
      <c r="D892" s="4"/>
      <c r="E892" s="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1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1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1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1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1"/>
    </row>
    <row r="893" spans="1:75" ht="15.75" customHeight="1" x14ac:dyDescent="0.2">
      <c r="A893" s="4"/>
      <c r="B893" s="4"/>
      <c r="C893" s="4"/>
      <c r="D893" s="4"/>
      <c r="E893" s="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1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1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1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1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1"/>
    </row>
    <row r="894" spans="1:75" ht="15.75" customHeight="1" x14ac:dyDescent="0.2">
      <c r="A894" s="4"/>
      <c r="B894" s="4"/>
      <c r="C894" s="4"/>
      <c r="D894" s="4"/>
      <c r="E894" s="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1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1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1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1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1"/>
    </row>
    <row r="895" spans="1:75" ht="15.75" customHeight="1" x14ac:dyDescent="0.2">
      <c r="A895" s="4"/>
      <c r="B895" s="4"/>
      <c r="C895" s="4"/>
      <c r="D895" s="4"/>
      <c r="E895" s="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1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1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1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1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1"/>
    </row>
    <row r="896" spans="1:75" ht="15.75" customHeight="1" x14ac:dyDescent="0.2">
      <c r="A896" s="4"/>
      <c r="B896" s="4"/>
      <c r="C896" s="4"/>
      <c r="D896" s="4"/>
      <c r="E896" s="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1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1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1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1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1"/>
    </row>
    <row r="897" spans="1:75" ht="15.75" customHeight="1" x14ac:dyDescent="0.2">
      <c r="A897" s="4"/>
      <c r="B897" s="4"/>
      <c r="C897" s="4"/>
      <c r="D897" s="4"/>
      <c r="E897" s="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1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1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1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1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1"/>
    </row>
    <row r="898" spans="1:75" ht="15.75" customHeight="1" x14ac:dyDescent="0.2">
      <c r="A898" s="4"/>
      <c r="B898" s="4"/>
      <c r="C898" s="4"/>
      <c r="D898" s="4"/>
      <c r="E898" s="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1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1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1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1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1"/>
    </row>
    <row r="899" spans="1:75" ht="15.75" customHeight="1" x14ac:dyDescent="0.2">
      <c r="A899" s="4"/>
      <c r="B899" s="4"/>
      <c r="C899" s="4"/>
      <c r="D899" s="4"/>
      <c r="E899" s="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1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1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1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1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1"/>
    </row>
    <row r="900" spans="1:75" ht="15.75" customHeight="1" x14ac:dyDescent="0.2">
      <c r="A900" s="4"/>
      <c r="B900" s="4"/>
      <c r="C900" s="4"/>
      <c r="D900" s="4"/>
      <c r="E900" s="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1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1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1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1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1"/>
    </row>
    <row r="901" spans="1:75" ht="15.75" customHeight="1" x14ac:dyDescent="0.2">
      <c r="A901" s="4"/>
      <c r="B901" s="4"/>
      <c r="C901" s="4"/>
      <c r="D901" s="4"/>
      <c r="E901" s="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1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1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1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1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1"/>
    </row>
    <row r="902" spans="1:75" ht="15.75" customHeight="1" x14ac:dyDescent="0.2">
      <c r="A902" s="4"/>
      <c r="B902" s="4"/>
      <c r="C902" s="4"/>
      <c r="D902" s="4"/>
      <c r="E902" s="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1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1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1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1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1"/>
    </row>
    <row r="903" spans="1:75" ht="15.75" customHeight="1" x14ac:dyDescent="0.2">
      <c r="A903" s="4"/>
      <c r="B903" s="4"/>
      <c r="C903" s="4"/>
      <c r="D903" s="4"/>
      <c r="E903" s="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1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1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1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1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1"/>
    </row>
    <row r="904" spans="1:75" ht="15.75" customHeight="1" x14ac:dyDescent="0.2">
      <c r="A904" s="4"/>
      <c r="B904" s="4"/>
      <c r="C904" s="4"/>
      <c r="D904" s="4"/>
      <c r="E904" s="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1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1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1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1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1"/>
    </row>
    <row r="905" spans="1:75" ht="15.75" customHeight="1" x14ac:dyDescent="0.2">
      <c r="A905" s="4"/>
      <c r="B905" s="4"/>
      <c r="C905" s="4"/>
      <c r="D905" s="4"/>
      <c r="E905" s="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1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1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1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1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1"/>
    </row>
    <row r="906" spans="1:75" ht="15.75" customHeight="1" x14ac:dyDescent="0.2">
      <c r="A906" s="4"/>
      <c r="B906" s="4"/>
      <c r="C906" s="4"/>
      <c r="D906" s="4"/>
      <c r="E906" s="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1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1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1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1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1"/>
    </row>
    <row r="907" spans="1:75" ht="15.75" customHeight="1" x14ac:dyDescent="0.2">
      <c r="A907" s="4"/>
      <c r="B907" s="4"/>
      <c r="C907" s="4"/>
      <c r="D907" s="4"/>
      <c r="E907" s="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1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1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1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1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1"/>
    </row>
    <row r="908" spans="1:75" ht="15.75" customHeight="1" x14ac:dyDescent="0.2">
      <c r="A908" s="4"/>
      <c r="B908" s="4"/>
      <c r="C908" s="4"/>
      <c r="D908" s="4"/>
      <c r="E908" s="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1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1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1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1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1"/>
    </row>
    <row r="909" spans="1:75" ht="15.75" customHeight="1" x14ac:dyDescent="0.2">
      <c r="A909" s="4"/>
      <c r="B909" s="4"/>
      <c r="C909" s="4"/>
      <c r="D909" s="4"/>
      <c r="E909" s="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1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1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1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1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1"/>
    </row>
    <row r="910" spans="1:75" ht="15.75" customHeight="1" x14ac:dyDescent="0.2">
      <c r="A910" s="4"/>
      <c r="B910" s="4"/>
      <c r="C910" s="4"/>
      <c r="D910" s="4"/>
      <c r="E910" s="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1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1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1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1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1"/>
    </row>
    <row r="911" spans="1:75" ht="15.75" customHeight="1" x14ac:dyDescent="0.2">
      <c r="A911" s="4"/>
      <c r="B911" s="4"/>
      <c r="C911" s="4"/>
      <c r="D911" s="4"/>
      <c r="E911" s="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1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1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1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1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1"/>
    </row>
    <row r="912" spans="1:75" ht="15.75" customHeight="1" x14ac:dyDescent="0.2">
      <c r="A912" s="4"/>
      <c r="B912" s="4"/>
      <c r="C912" s="4"/>
      <c r="D912" s="4"/>
      <c r="E912" s="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1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1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1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1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1"/>
    </row>
    <row r="913" spans="1:75" ht="15.75" customHeight="1" x14ac:dyDescent="0.2">
      <c r="A913" s="4"/>
      <c r="B913" s="4"/>
      <c r="C913" s="4"/>
      <c r="D913" s="4"/>
      <c r="E913" s="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1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1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1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1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1"/>
    </row>
    <row r="914" spans="1:75" ht="15.75" customHeight="1" x14ac:dyDescent="0.2">
      <c r="A914" s="4"/>
      <c r="B914" s="4"/>
      <c r="C914" s="4"/>
      <c r="D914" s="4"/>
      <c r="E914" s="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1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1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1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1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1"/>
    </row>
    <row r="915" spans="1:75" ht="15.75" customHeight="1" x14ac:dyDescent="0.2">
      <c r="A915" s="4"/>
      <c r="B915" s="4"/>
      <c r="C915" s="4"/>
      <c r="D915" s="4"/>
      <c r="E915" s="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1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1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1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1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1"/>
    </row>
    <row r="916" spans="1:75" ht="15.75" customHeight="1" x14ac:dyDescent="0.2">
      <c r="A916" s="4"/>
      <c r="B916" s="4"/>
      <c r="C916" s="4"/>
      <c r="D916" s="4"/>
      <c r="E916" s="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1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1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1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1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1"/>
    </row>
    <row r="917" spans="1:75" ht="15.75" customHeight="1" x14ac:dyDescent="0.2">
      <c r="A917" s="4"/>
      <c r="B917" s="4"/>
      <c r="C917" s="4"/>
      <c r="D917" s="4"/>
      <c r="E917" s="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1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1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1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1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1"/>
    </row>
    <row r="918" spans="1:75" ht="15.75" customHeight="1" x14ac:dyDescent="0.2">
      <c r="A918" s="4"/>
      <c r="B918" s="4"/>
      <c r="C918" s="4"/>
      <c r="D918" s="4"/>
      <c r="E918" s="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1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1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1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1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1"/>
    </row>
    <row r="919" spans="1:75" ht="15.75" customHeight="1" x14ac:dyDescent="0.2">
      <c r="A919" s="4"/>
      <c r="B919" s="4"/>
      <c r="C919" s="4"/>
      <c r="D919" s="4"/>
      <c r="E919" s="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1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1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1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1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1"/>
    </row>
    <row r="920" spans="1:75" ht="15.75" customHeight="1" x14ac:dyDescent="0.2">
      <c r="A920" s="4"/>
      <c r="B920" s="4"/>
      <c r="C920" s="4"/>
      <c r="D920" s="4"/>
      <c r="E920" s="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1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1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1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1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1"/>
    </row>
    <row r="921" spans="1:75" ht="15.75" customHeight="1" x14ac:dyDescent="0.2">
      <c r="A921" s="4"/>
      <c r="B921" s="4"/>
      <c r="C921" s="4"/>
      <c r="D921" s="4"/>
      <c r="E921" s="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1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1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1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1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1"/>
    </row>
    <row r="922" spans="1:75" ht="15.75" customHeight="1" x14ac:dyDescent="0.2">
      <c r="A922" s="4"/>
      <c r="B922" s="4"/>
      <c r="C922" s="4"/>
      <c r="D922" s="4"/>
      <c r="E922" s="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1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1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1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1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1"/>
    </row>
    <row r="923" spans="1:75" ht="15.75" customHeight="1" x14ac:dyDescent="0.2">
      <c r="A923" s="4"/>
      <c r="B923" s="4"/>
      <c r="C923" s="4"/>
      <c r="D923" s="4"/>
      <c r="E923" s="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1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1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1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1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1"/>
    </row>
    <row r="924" spans="1:75" ht="15.75" customHeight="1" x14ac:dyDescent="0.2">
      <c r="A924" s="4"/>
      <c r="B924" s="4"/>
      <c r="C924" s="4"/>
      <c r="D924" s="4"/>
      <c r="E924" s="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1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1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1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1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1"/>
    </row>
    <row r="925" spans="1:75" ht="15.75" customHeight="1" x14ac:dyDescent="0.2">
      <c r="A925" s="4"/>
      <c r="B925" s="4"/>
      <c r="C925" s="4"/>
      <c r="D925" s="4"/>
      <c r="E925" s="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1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1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1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1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1"/>
    </row>
    <row r="926" spans="1:75" ht="15.75" customHeight="1" x14ac:dyDescent="0.2">
      <c r="A926" s="4"/>
      <c r="B926" s="4"/>
      <c r="C926" s="4"/>
      <c r="D926" s="4"/>
      <c r="E926" s="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1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1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1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1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1"/>
    </row>
    <row r="927" spans="1:75" ht="15.75" customHeight="1" x14ac:dyDescent="0.2">
      <c r="A927" s="4"/>
      <c r="B927" s="4"/>
      <c r="C927" s="4"/>
      <c r="D927" s="4"/>
      <c r="E927" s="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1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1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1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1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1"/>
    </row>
    <row r="928" spans="1:75" ht="15.75" customHeight="1" x14ac:dyDescent="0.2">
      <c r="A928" s="4"/>
      <c r="B928" s="4"/>
      <c r="C928" s="4"/>
      <c r="D928" s="4"/>
      <c r="E928" s="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1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1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1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1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1"/>
    </row>
    <row r="929" spans="1:75" ht="15.75" customHeight="1" x14ac:dyDescent="0.2">
      <c r="A929" s="4"/>
      <c r="B929" s="4"/>
      <c r="C929" s="4"/>
      <c r="D929" s="4"/>
      <c r="E929" s="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1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1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1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1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1"/>
    </row>
    <row r="930" spans="1:75" ht="15.75" customHeight="1" x14ac:dyDescent="0.2">
      <c r="A930" s="4"/>
      <c r="B930" s="4"/>
      <c r="C930" s="4"/>
      <c r="D930" s="4"/>
      <c r="E930" s="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1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1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1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1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1"/>
    </row>
    <row r="931" spans="1:75" ht="15.75" customHeight="1" x14ac:dyDescent="0.2">
      <c r="A931" s="4"/>
      <c r="B931" s="4"/>
      <c r="C931" s="4"/>
      <c r="D931" s="4"/>
      <c r="E931" s="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1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1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1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1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1"/>
    </row>
    <row r="932" spans="1:75" ht="15.75" customHeight="1" x14ac:dyDescent="0.2">
      <c r="A932" s="4"/>
      <c r="B932" s="4"/>
      <c r="C932" s="4"/>
      <c r="D932" s="4"/>
      <c r="E932" s="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1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1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1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1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1"/>
    </row>
    <row r="933" spans="1:75" ht="15.75" customHeight="1" x14ac:dyDescent="0.2">
      <c r="A933" s="4"/>
      <c r="B933" s="4"/>
      <c r="C933" s="4"/>
      <c r="D933" s="4"/>
      <c r="E933" s="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1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1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1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1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1"/>
    </row>
    <row r="934" spans="1:75" ht="15.75" customHeight="1" x14ac:dyDescent="0.2">
      <c r="A934" s="4"/>
      <c r="B934" s="4"/>
      <c r="C934" s="4"/>
      <c r="D934" s="4"/>
      <c r="E934" s="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1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1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1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1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1"/>
    </row>
    <row r="935" spans="1:75" ht="15.75" customHeight="1" x14ac:dyDescent="0.2">
      <c r="A935" s="4"/>
      <c r="B935" s="4"/>
      <c r="C935" s="4"/>
      <c r="D935" s="4"/>
      <c r="E935" s="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1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1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1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1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1"/>
    </row>
    <row r="936" spans="1:75" ht="15.75" customHeight="1" x14ac:dyDescent="0.2">
      <c r="A936" s="4"/>
      <c r="B936" s="4"/>
      <c r="C936" s="4"/>
      <c r="D936" s="4"/>
      <c r="E936" s="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1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1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1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1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1"/>
    </row>
    <row r="937" spans="1:75" ht="15.75" customHeight="1" x14ac:dyDescent="0.2">
      <c r="A937" s="4"/>
      <c r="B937" s="4"/>
      <c r="C937" s="4"/>
      <c r="D937" s="4"/>
      <c r="E937" s="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1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1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1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1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1"/>
    </row>
    <row r="938" spans="1:75" ht="15.75" customHeight="1" x14ac:dyDescent="0.2">
      <c r="A938" s="4"/>
      <c r="B938" s="4"/>
      <c r="C938" s="4"/>
      <c r="D938" s="4"/>
      <c r="E938" s="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1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1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1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1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1"/>
    </row>
    <row r="939" spans="1:75" ht="15.75" customHeight="1" x14ac:dyDescent="0.2">
      <c r="A939" s="4"/>
      <c r="B939" s="4"/>
      <c r="C939" s="4"/>
      <c r="D939" s="4"/>
      <c r="E939" s="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1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1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1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1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1"/>
    </row>
    <row r="940" spans="1:75" ht="15.75" customHeight="1" x14ac:dyDescent="0.2">
      <c r="A940" s="4"/>
      <c r="B940" s="4"/>
      <c r="C940" s="4"/>
      <c r="D940" s="4"/>
      <c r="E940" s="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1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1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1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1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1"/>
    </row>
    <row r="941" spans="1:75" ht="15.75" customHeight="1" x14ac:dyDescent="0.2">
      <c r="A941" s="4"/>
      <c r="B941" s="4"/>
      <c r="C941" s="4"/>
      <c r="D941" s="4"/>
      <c r="E941" s="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1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1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1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1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1"/>
    </row>
    <row r="942" spans="1:75" ht="15.75" customHeight="1" x14ac:dyDescent="0.2">
      <c r="A942" s="4"/>
      <c r="B942" s="4"/>
      <c r="C942" s="4"/>
      <c r="D942" s="4"/>
      <c r="E942" s="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1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1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1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1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1"/>
    </row>
    <row r="943" spans="1:75" ht="15.75" customHeight="1" x14ac:dyDescent="0.2">
      <c r="A943" s="4"/>
      <c r="B943" s="4"/>
      <c r="C943" s="4"/>
      <c r="D943" s="4"/>
      <c r="E943" s="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1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1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1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1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1"/>
    </row>
    <row r="944" spans="1:75" ht="15.75" customHeight="1" x14ac:dyDescent="0.2">
      <c r="A944" s="4"/>
      <c r="B944" s="4"/>
      <c r="C944" s="4"/>
      <c r="D944" s="4"/>
      <c r="E944" s="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1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1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1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1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1"/>
    </row>
    <row r="945" spans="1:75" ht="15.75" customHeight="1" x14ac:dyDescent="0.2">
      <c r="A945" s="4"/>
      <c r="B945" s="4"/>
      <c r="C945" s="4"/>
      <c r="D945" s="4"/>
      <c r="E945" s="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1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1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1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1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1"/>
    </row>
    <row r="946" spans="1:75" ht="15.75" customHeight="1" x14ac:dyDescent="0.2">
      <c r="A946" s="4"/>
      <c r="B946" s="4"/>
      <c r="C946" s="4"/>
      <c r="D946" s="4"/>
      <c r="E946" s="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1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1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1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1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1"/>
    </row>
    <row r="947" spans="1:75" ht="15.75" customHeight="1" x14ac:dyDescent="0.2">
      <c r="A947" s="4"/>
      <c r="B947" s="4"/>
      <c r="C947" s="4"/>
      <c r="D947" s="4"/>
      <c r="E947" s="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1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1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1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1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1"/>
    </row>
    <row r="948" spans="1:75" ht="15.75" customHeight="1" x14ac:dyDescent="0.2">
      <c r="A948" s="4"/>
      <c r="B948" s="4"/>
      <c r="C948" s="4"/>
      <c r="D948" s="4"/>
      <c r="E948" s="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1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1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1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1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1"/>
    </row>
    <row r="949" spans="1:75" ht="15.75" customHeight="1" x14ac:dyDescent="0.2">
      <c r="A949" s="4"/>
      <c r="B949" s="4"/>
      <c r="C949" s="4"/>
      <c r="D949" s="4"/>
      <c r="E949" s="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1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1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1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1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1"/>
    </row>
    <row r="950" spans="1:75" ht="15.75" customHeight="1" x14ac:dyDescent="0.2">
      <c r="A950" s="4"/>
      <c r="B950" s="4"/>
      <c r="C950" s="4"/>
      <c r="D950" s="4"/>
      <c r="E950" s="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1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1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1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1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1"/>
    </row>
    <row r="951" spans="1:75" ht="15.75" customHeight="1" x14ac:dyDescent="0.2">
      <c r="A951" s="4"/>
      <c r="B951" s="4"/>
      <c r="C951" s="4"/>
      <c r="D951" s="4"/>
      <c r="E951" s="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1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1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1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1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1"/>
    </row>
    <row r="952" spans="1:75" ht="15.75" customHeight="1" x14ac:dyDescent="0.2">
      <c r="A952" s="4"/>
      <c r="B952" s="4"/>
      <c r="C952" s="4"/>
      <c r="D952" s="4"/>
      <c r="E952" s="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1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1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1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1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1"/>
    </row>
    <row r="953" spans="1:75" ht="15.75" customHeight="1" x14ac:dyDescent="0.2">
      <c r="A953" s="4"/>
      <c r="B953" s="4"/>
      <c r="C953" s="4"/>
      <c r="D953" s="4"/>
      <c r="E953" s="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1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1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1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1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1"/>
    </row>
    <row r="954" spans="1:75" ht="15.75" customHeight="1" x14ac:dyDescent="0.2">
      <c r="A954" s="4"/>
      <c r="B954" s="4"/>
      <c r="C954" s="4"/>
      <c r="D954" s="4"/>
      <c r="E954" s="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1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1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1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1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1"/>
    </row>
    <row r="955" spans="1:75" ht="15.75" customHeight="1" x14ac:dyDescent="0.2">
      <c r="A955" s="4"/>
      <c r="B955" s="4"/>
      <c r="C955" s="4"/>
      <c r="D955" s="4"/>
      <c r="E955" s="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1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1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1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1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1"/>
    </row>
    <row r="956" spans="1:75" ht="15.75" customHeight="1" x14ac:dyDescent="0.2">
      <c r="A956" s="4"/>
      <c r="B956" s="4"/>
      <c r="C956" s="4"/>
      <c r="D956" s="4"/>
      <c r="E956" s="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1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1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1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1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1"/>
    </row>
    <row r="957" spans="1:75" ht="15.75" customHeight="1" x14ac:dyDescent="0.2">
      <c r="A957" s="4"/>
      <c r="B957" s="4"/>
      <c r="C957" s="4"/>
      <c r="D957" s="4"/>
      <c r="E957" s="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1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1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1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1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1"/>
    </row>
    <row r="958" spans="1:75" ht="15.75" customHeight="1" x14ac:dyDescent="0.2">
      <c r="A958" s="4"/>
      <c r="B958" s="4"/>
      <c r="C958" s="4"/>
      <c r="D958" s="4"/>
      <c r="E958" s="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1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1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1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1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1"/>
    </row>
    <row r="959" spans="1:75" ht="15.75" customHeight="1" x14ac:dyDescent="0.2">
      <c r="A959" s="4"/>
      <c r="B959" s="4"/>
      <c r="C959" s="4"/>
      <c r="D959" s="4"/>
      <c r="E959" s="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1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1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1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1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1"/>
    </row>
    <row r="960" spans="1:75" ht="15.75" customHeight="1" x14ac:dyDescent="0.2">
      <c r="A960" s="4"/>
      <c r="B960" s="4"/>
      <c r="C960" s="4"/>
      <c r="D960" s="4"/>
      <c r="E960" s="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1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1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1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1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1"/>
    </row>
    <row r="961" spans="1:75" ht="15.75" customHeight="1" x14ac:dyDescent="0.2">
      <c r="A961" s="4"/>
      <c r="B961" s="4"/>
      <c r="C961" s="4"/>
      <c r="D961" s="4"/>
      <c r="E961" s="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1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1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1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1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1"/>
    </row>
    <row r="962" spans="1:75" ht="15.75" customHeight="1" x14ac:dyDescent="0.2">
      <c r="A962" s="4"/>
      <c r="B962" s="4"/>
      <c r="C962" s="4"/>
      <c r="D962" s="4"/>
      <c r="E962" s="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1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1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1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1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1"/>
    </row>
    <row r="963" spans="1:75" ht="15.75" customHeight="1" x14ac:dyDescent="0.2">
      <c r="A963" s="4"/>
      <c r="B963" s="4"/>
      <c r="C963" s="4"/>
      <c r="D963" s="4"/>
      <c r="E963" s="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1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1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1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1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1"/>
    </row>
    <row r="964" spans="1:75" ht="15.75" customHeight="1" x14ac:dyDescent="0.2">
      <c r="A964" s="4"/>
      <c r="B964" s="4"/>
      <c r="C964" s="4"/>
      <c r="D964" s="4"/>
      <c r="E964" s="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1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1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1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1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1"/>
    </row>
    <row r="965" spans="1:75" ht="15.75" customHeight="1" x14ac:dyDescent="0.2">
      <c r="A965" s="4"/>
      <c r="B965" s="4"/>
      <c r="C965" s="4"/>
      <c r="D965" s="4"/>
      <c r="E965" s="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1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1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1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1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1"/>
    </row>
    <row r="966" spans="1:75" ht="15.75" customHeight="1" x14ac:dyDescent="0.2">
      <c r="A966" s="4"/>
      <c r="B966" s="4"/>
      <c r="C966" s="4"/>
      <c r="D966" s="4"/>
      <c r="E966" s="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1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1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1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1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1"/>
    </row>
    <row r="967" spans="1:75" ht="15.75" customHeight="1" x14ac:dyDescent="0.2">
      <c r="A967" s="4"/>
      <c r="B967" s="4"/>
      <c r="C967" s="4"/>
      <c r="D967" s="4"/>
      <c r="E967" s="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1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1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1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1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1"/>
    </row>
    <row r="968" spans="1:75" ht="15.75" customHeight="1" x14ac:dyDescent="0.2">
      <c r="A968" s="4"/>
      <c r="B968" s="4"/>
      <c r="C968" s="4"/>
      <c r="D968" s="4"/>
      <c r="E968" s="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1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1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1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1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1"/>
    </row>
    <row r="969" spans="1:75" ht="15.75" customHeight="1" x14ac:dyDescent="0.2">
      <c r="A969" s="4"/>
      <c r="B969" s="4"/>
      <c r="C969" s="4"/>
      <c r="D969" s="4"/>
      <c r="E969" s="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1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1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1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1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1"/>
    </row>
    <row r="970" spans="1:75" ht="15.75" customHeight="1" x14ac:dyDescent="0.2">
      <c r="A970" s="4"/>
      <c r="B970" s="4"/>
      <c r="C970" s="4"/>
      <c r="D970" s="4"/>
      <c r="E970" s="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1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1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1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1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1"/>
    </row>
    <row r="971" spans="1:75" ht="15.75" customHeight="1" x14ac:dyDescent="0.2">
      <c r="A971" s="4"/>
      <c r="B971" s="4"/>
      <c r="C971" s="4"/>
      <c r="D971" s="4"/>
      <c r="E971" s="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1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1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1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1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1"/>
    </row>
    <row r="972" spans="1:75" ht="15.75" customHeight="1" x14ac:dyDescent="0.2">
      <c r="A972" s="4"/>
      <c r="B972" s="4"/>
      <c r="C972" s="4"/>
      <c r="D972" s="4"/>
      <c r="E972" s="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1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1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1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1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1"/>
    </row>
    <row r="973" spans="1:75" ht="15.75" customHeight="1" x14ac:dyDescent="0.2">
      <c r="A973" s="4"/>
      <c r="B973" s="4"/>
      <c r="C973" s="4"/>
      <c r="D973" s="4"/>
      <c r="E973" s="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1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1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1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1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1"/>
    </row>
    <row r="974" spans="1:75" ht="15.75" customHeight="1" x14ac:dyDescent="0.2">
      <c r="A974" s="4"/>
      <c r="B974" s="4"/>
      <c r="C974" s="4"/>
      <c r="D974" s="4"/>
      <c r="E974" s="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1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1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1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1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1"/>
    </row>
    <row r="975" spans="1:75" ht="15.75" customHeight="1" x14ac:dyDescent="0.2">
      <c r="A975" s="4"/>
      <c r="B975" s="4"/>
      <c r="C975" s="4"/>
      <c r="D975" s="4"/>
      <c r="E975" s="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1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1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1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1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1"/>
    </row>
    <row r="976" spans="1:75" ht="15.75" customHeight="1" x14ac:dyDescent="0.2">
      <c r="A976" s="4"/>
      <c r="B976" s="4"/>
      <c r="C976" s="4"/>
      <c r="D976" s="4"/>
      <c r="E976" s="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1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1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1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1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1"/>
    </row>
    <row r="977" spans="1:75" ht="15.75" customHeight="1" x14ac:dyDescent="0.2">
      <c r="A977" s="4"/>
      <c r="B977" s="4"/>
      <c r="C977" s="4"/>
      <c r="D977" s="4"/>
      <c r="E977" s="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1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1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1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1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1"/>
    </row>
    <row r="978" spans="1:75" ht="15.75" customHeight="1" x14ac:dyDescent="0.2">
      <c r="A978" s="4"/>
      <c r="B978" s="4"/>
      <c r="C978" s="4"/>
      <c r="D978" s="4"/>
      <c r="E978" s="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1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1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1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1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1"/>
    </row>
    <row r="979" spans="1:75" ht="15.75" customHeight="1" x14ac:dyDescent="0.2">
      <c r="A979" s="4"/>
      <c r="B979" s="4"/>
      <c r="C979" s="4"/>
      <c r="D979" s="4"/>
      <c r="E979" s="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1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1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1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1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1"/>
    </row>
    <row r="980" spans="1:75" ht="15.75" customHeight="1" x14ac:dyDescent="0.2">
      <c r="A980" s="4"/>
      <c r="B980" s="4"/>
      <c r="C980" s="4"/>
      <c r="D980" s="4"/>
      <c r="E980" s="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1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1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1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1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1"/>
    </row>
    <row r="981" spans="1:75" ht="15.75" customHeight="1" x14ac:dyDescent="0.2">
      <c r="A981" s="4"/>
      <c r="B981" s="4"/>
      <c r="C981" s="4"/>
      <c r="D981" s="4"/>
      <c r="E981" s="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1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1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1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1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1"/>
    </row>
    <row r="982" spans="1:75" ht="15.75" customHeight="1" x14ac:dyDescent="0.2">
      <c r="A982" s="4"/>
      <c r="B982" s="4"/>
      <c r="C982" s="4"/>
      <c r="D982" s="4"/>
      <c r="E982" s="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1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1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1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1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1"/>
    </row>
    <row r="983" spans="1:75" ht="15.75" customHeight="1" x14ac:dyDescent="0.2">
      <c r="A983" s="4"/>
      <c r="B983" s="4"/>
      <c r="C983" s="4"/>
      <c r="D983" s="4"/>
      <c r="E983" s="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1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1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1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1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1"/>
    </row>
    <row r="984" spans="1:75" ht="15.75" customHeight="1" x14ac:dyDescent="0.2">
      <c r="A984" s="4"/>
      <c r="B984" s="4"/>
      <c r="C984" s="4"/>
      <c r="D984" s="4"/>
      <c r="E984" s="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1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1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1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1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1"/>
    </row>
    <row r="985" spans="1:75" ht="15.75" customHeight="1" x14ac:dyDescent="0.2">
      <c r="A985" s="4"/>
      <c r="B985" s="4"/>
      <c r="C985" s="4"/>
      <c r="D985" s="4"/>
      <c r="E985" s="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1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1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1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1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1"/>
    </row>
    <row r="986" spans="1:75" ht="15.75" customHeight="1" x14ac:dyDescent="0.2">
      <c r="A986" s="4"/>
      <c r="B986" s="4"/>
      <c r="C986" s="4"/>
      <c r="D986" s="4"/>
      <c r="E986" s="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1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1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1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1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1"/>
    </row>
    <row r="987" spans="1:75" ht="15.75" customHeight="1" x14ac:dyDescent="0.2">
      <c r="A987" s="4"/>
      <c r="B987" s="4"/>
      <c r="C987" s="4"/>
      <c r="D987" s="4"/>
      <c r="E987" s="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1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1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1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1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1"/>
    </row>
    <row r="988" spans="1:75" ht="15.75" customHeight="1" x14ac:dyDescent="0.2">
      <c r="A988" s="4"/>
      <c r="B988" s="4"/>
      <c r="C988" s="4"/>
      <c r="D988" s="4"/>
      <c r="E988" s="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1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1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1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1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1"/>
    </row>
    <row r="989" spans="1:75" ht="15.75" customHeight="1" x14ac:dyDescent="0.2">
      <c r="A989" s="4"/>
      <c r="B989" s="4"/>
      <c r="C989" s="4"/>
      <c r="D989" s="4"/>
      <c r="E989" s="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1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1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1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1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1"/>
    </row>
    <row r="990" spans="1:75" ht="15.75" customHeight="1" x14ac:dyDescent="0.2">
      <c r="A990" s="4"/>
      <c r="B990" s="4"/>
      <c r="C990" s="4"/>
      <c r="D990" s="4"/>
      <c r="E990" s="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1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1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1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1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1"/>
    </row>
    <row r="991" spans="1:75" ht="15.75" customHeight="1" x14ac:dyDescent="0.2">
      <c r="A991" s="4"/>
      <c r="B991" s="4"/>
      <c r="C991" s="4"/>
      <c r="D991" s="4"/>
      <c r="E991" s="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1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1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1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1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1"/>
    </row>
    <row r="992" spans="1:75" ht="15.75" customHeight="1" x14ac:dyDescent="0.2">
      <c r="A992" s="4"/>
      <c r="B992" s="4"/>
      <c r="C992" s="4"/>
      <c r="D992" s="4"/>
      <c r="E992" s="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1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1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1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1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1"/>
    </row>
  </sheetData>
  <mergeCells count="10">
    <mergeCell ref="BK1:BW1"/>
    <mergeCell ref="G36:S36"/>
    <mergeCell ref="U36:AG36"/>
    <mergeCell ref="BK36:BW36"/>
    <mergeCell ref="AI36:AU36"/>
    <mergeCell ref="AW36:BI36"/>
    <mergeCell ref="G1:S1"/>
    <mergeCell ref="U1:AG1"/>
    <mergeCell ref="AI1:AU1"/>
    <mergeCell ref="AW1:BI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Disclosure</vt:lpstr>
      <vt:lpstr>Assumptions </vt:lpstr>
      <vt:lpstr>Upfront Costs</vt:lpstr>
      <vt:lpstr>Cashflow</vt:lpstr>
      <vt:lpstr>P&amp;L - 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Nelson</dc:creator>
  <cp:lastModifiedBy>Luke Young</cp:lastModifiedBy>
  <dcterms:created xsi:type="dcterms:W3CDTF">2023-02-08T09:24:10Z</dcterms:created>
  <dcterms:modified xsi:type="dcterms:W3CDTF">2026-02-03T05:04:03Z</dcterms:modified>
</cp:coreProperties>
</file>